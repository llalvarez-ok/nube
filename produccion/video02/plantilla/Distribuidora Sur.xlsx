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Pedido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165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10 fórmulas de Excel con IA: tu planilla se llena sola</t>
        </is>
      </c>
    </row>
    <row r="3">
      <c r="A3" t="inlineStr">
        <is>
          <t>Plantilla de Atajos IA (youtube.com/@AtajosIAoficial). Los datos son ficticios: reemplázalos por los tuyos.</t>
        </is>
      </c>
    </row>
    <row r="4">
      <c r="A4" t="inlineStr">
        <is>
          <t>Las fórmulas funcionan en Excel para la web (gratis) y en Excel 2021/365. No tiene macros ni vínculos externos.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875" customWidth="1" min="1" max="1"/>
    <col width="42.5" customWidth="1" min="2" max="2"/>
    <col width="31.25" customWidth="1" min="3" max="3"/>
    <col width="28.75" customWidth="1" min="4" max="4"/>
    <col width="23.75" customWidth="1" min="5" max="5"/>
    <col width="17.5" customWidth="1" min="6" max="6"/>
    <col width="12.5" customWidth="1" min="7" max="7"/>
    <col width="15" customWidth="1" min="8" max="8"/>
    <col width="12.5" customWidth="1" min="9" max="9"/>
    <col width="17.5" customWidth="1" min="10" max="10"/>
    <col width="18.75" customWidth="1" min="11" max="11"/>
    <col width="12.5" customWidth="1" min="12" max="12"/>
    <col width="16.25" customWidth="1" min="13" max="13"/>
  </cols>
  <sheetData>
    <row r="1">
      <c r="A1" s="2" t="inlineStr">
        <is>
          <t>Fecha</t>
        </is>
      </c>
      <c r="B1" s="2" t="inlineStr">
        <is>
          <t>Cliente (sistema)</t>
        </is>
      </c>
      <c r="C1" s="2" t="inlineStr">
        <is>
          <t>Cliente</t>
        </is>
      </c>
      <c r="D1" s="2" t="inlineStr">
        <is>
          <t>Vendedor (sistema)</t>
        </is>
      </c>
      <c r="E1" s="2" t="inlineStr">
        <is>
          <t>Vendedor</t>
        </is>
      </c>
      <c r="F1" s="2" t="inlineStr">
        <is>
          <t>Código</t>
        </is>
      </c>
      <c r="G1" s="2" t="inlineStr">
        <is>
          <t>Cant.</t>
        </is>
      </c>
      <c r="H1" s="2" t="inlineStr">
        <is>
          <t>Precio</t>
        </is>
      </c>
      <c r="I1" s="2" t="inlineStr">
        <is>
          <t>Desc.</t>
        </is>
      </c>
      <c r="J1" s="2" t="inlineStr">
        <is>
          <t>Neto</t>
        </is>
      </c>
      <c r="K1" s="2" t="inlineStr">
        <is>
          <t>Vence</t>
        </is>
      </c>
      <c r="L1" s="2" t="inlineStr">
        <is>
          <t>Pagado</t>
        </is>
      </c>
      <c r="M1" s="2" t="inlineStr">
        <is>
          <t>Estado</t>
        </is>
      </c>
    </row>
    <row r="2">
      <c r="A2" s="3" t="n">
        <v>46238</v>
      </c>
      <c r="B2" t="inlineStr">
        <is>
          <t xml:space="preserve">  ferretería el TORNILLO </t>
        </is>
      </c>
      <c r="C2">
        <f>PROPER(TRIM(B2))</f>
        <v/>
      </c>
      <c r="D2" t="inlineStr">
        <is>
          <t>V01 | Diego Paz</t>
        </is>
      </c>
      <c r="E2">
        <f>_xlfn.TEXTAFTER(D2,"| ")</f>
        <v/>
      </c>
      <c r="F2" t="inlineStr">
        <is>
          <t>LIM-010</t>
        </is>
      </c>
      <c r="G2" t="n">
        <v>40</v>
      </c>
      <c r="H2">
        <f>_xlfn.XLOOKUP(F2,Productos!A:A,Productos!C:C,"Código no existe")</f>
        <v/>
      </c>
      <c r="I2">
        <f>_xlfn.IFS(G2*H2&gt;=100000,10%,G2*H2&gt;=40000,5%,TRUE,0)</f>
        <v/>
      </c>
      <c r="J2">
        <f>G2*H2*(1-I2)</f>
        <v/>
      </c>
      <c r="K2" s="3">
        <f>EOMONTH(A2,1)</f>
        <v/>
      </c>
      <c r="L2" t="inlineStr">
        <is>
          <t>Sí</t>
        </is>
      </c>
      <c r="M2">
        <f>IF(L2="Sí","Cobrado",IF(K2&lt;Resumen!$B$1,"Vencido","Al día"))</f>
        <v/>
      </c>
    </row>
    <row r="3">
      <c r="A3" s="3" t="n">
        <v>46246</v>
      </c>
      <c r="B3" t="inlineStr">
        <is>
          <t>LIBRERÍA SAN MARTÍN SRL</t>
        </is>
      </c>
      <c r="C3">
        <f>PROPER(TRIM(B3))</f>
        <v/>
      </c>
      <c r="D3" t="inlineStr">
        <is>
          <t>V02 | Carla Ruiz</t>
        </is>
      </c>
      <c r="E3">
        <f>_xlfn.TEXTAFTER(D3,"| ")</f>
        <v/>
      </c>
      <c r="F3" t="inlineStr">
        <is>
          <t>PAP-200</t>
        </is>
      </c>
      <c r="G3" t="n">
        <v>120</v>
      </c>
      <c r="H3">
        <f>_xlfn.XLOOKUP(F3,Productos!A:A,Productos!C:C,"Código no existe")</f>
        <v/>
      </c>
      <c r="I3">
        <f>_xlfn.IFS(G3*H3&gt;=100000,10%,G3*H3&gt;=40000,5%,TRUE,0)</f>
        <v/>
      </c>
      <c r="J3">
        <f>G3*H3*(1-I3)</f>
        <v/>
      </c>
      <c r="K3" s="3">
        <f>EOMONTH(A3,1)</f>
        <v/>
      </c>
      <c r="L3" t="inlineStr">
        <is>
          <t>No</t>
        </is>
      </c>
      <c r="M3">
        <f>IF(L3="Sí","Cobrado",IF(K3&lt;Resumen!$B$1,"Vencido","Al día"))</f>
        <v/>
      </c>
    </row>
    <row r="4">
      <c r="A4" s="3" t="n">
        <v>46255</v>
      </c>
      <c r="B4" t="inlineStr">
        <is>
          <t>kiosco la esquina</t>
        </is>
      </c>
      <c r="C4">
        <f>PROPER(TRIM(B4))</f>
        <v/>
      </c>
      <c r="D4" t="inlineStr">
        <is>
          <t>V03 | Tomás Gil</t>
        </is>
      </c>
      <c r="E4">
        <f>_xlfn.TEXTAFTER(D4,"| ")</f>
        <v/>
      </c>
      <c r="F4" t="inlineStr">
        <is>
          <t>LIM-020</t>
        </is>
      </c>
      <c r="G4" t="n">
        <v>15</v>
      </c>
      <c r="H4">
        <f>_xlfn.XLOOKUP(F4,Productos!A:A,Productos!C:C,"Código no existe")</f>
        <v/>
      </c>
      <c r="I4">
        <f>_xlfn.IFS(G4*H4&gt;=100000,10%,G4*H4&gt;=40000,5%,TRUE,0)</f>
        <v/>
      </c>
      <c r="J4">
        <f>G4*H4*(1-I4)</f>
        <v/>
      </c>
      <c r="K4" s="3">
        <f>EOMONTH(A4,1)</f>
        <v/>
      </c>
      <c r="L4" t="inlineStr">
        <is>
          <t>Sí</t>
        </is>
      </c>
      <c r="M4">
        <f>IF(L4="Sí","Cobrado",IF(K4&lt;Resumen!$B$1,"Vencido","Al día"))</f>
        <v/>
      </c>
    </row>
    <row r="5">
      <c r="A5" s="3" t="n">
        <v>46267</v>
      </c>
      <c r="B5" t="inlineStr">
        <is>
          <t xml:space="preserve">ferretería el tornillo  </t>
        </is>
      </c>
      <c r="C5">
        <f>PROPER(TRIM(B5))</f>
        <v/>
      </c>
      <c r="D5" t="inlineStr">
        <is>
          <t>V01 | Diego Paz</t>
        </is>
      </c>
      <c r="E5">
        <f>_xlfn.TEXTAFTER(D5,"| ")</f>
        <v/>
      </c>
      <c r="F5" t="inlineStr">
        <is>
          <t>PAP-210</t>
        </is>
      </c>
      <c r="G5" t="n">
        <v>60</v>
      </c>
      <c r="H5">
        <f>_xlfn.XLOOKUP(F5,Productos!A:A,Productos!C:C,"Código no existe")</f>
        <v/>
      </c>
      <c r="I5">
        <f>_xlfn.IFS(G5*H5&gt;=100000,10%,G5*H5&gt;=40000,5%,TRUE,0)</f>
        <v/>
      </c>
      <c r="J5">
        <f>G5*H5*(1-I5)</f>
        <v/>
      </c>
      <c r="K5" s="3">
        <f>EOMONTH(A5,1)</f>
        <v/>
      </c>
      <c r="L5" t="inlineStr">
        <is>
          <t>Sí</t>
        </is>
      </c>
      <c r="M5">
        <f>IF(L5="Sí","Cobrado",IF(K5&lt;Resumen!$B$1,"Vencido","Al día"))</f>
        <v/>
      </c>
    </row>
    <row r="6">
      <c r="A6" s="3" t="n">
        <v>46274</v>
      </c>
      <c r="B6" t="inlineStr">
        <is>
          <t xml:space="preserve">  Colegio Nuevo Horizonte</t>
        </is>
      </c>
      <c r="C6">
        <f>PROPER(TRIM(B6))</f>
        <v/>
      </c>
      <c r="D6" t="inlineStr">
        <is>
          <t>V02 | Carla Ruiz</t>
        </is>
      </c>
      <c r="E6">
        <f>_xlfn.TEXTAFTER(D6,"| ")</f>
        <v/>
      </c>
      <c r="F6" t="inlineStr">
        <is>
          <t>PAP-200</t>
        </is>
      </c>
      <c r="G6" t="n">
        <v>300</v>
      </c>
      <c r="H6">
        <f>_xlfn.XLOOKUP(F6,Productos!A:A,Productos!C:C,"Código no existe")</f>
        <v/>
      </c>
      <c r="I6">
        <f>_xlfn.IFS(G6*H6&gt;=100000,10%,G6*H6&gt;=40000,5%,TRUE,0)</f>
        <v/>
      </c>
      <c r="J6">
        <f>G6*H6*(1-I6)</f>
        <v/>
      </c>
      <c r="K6" s="3">
        <f>EOMONTH(A6,1)</f>
        <v/>
      </c>
      <c r="L6" t="inlineStr">
        <is>
          <t>No</t>
        </is>
      </c>
      <c r="M6">
        <f>IF(L6="Sí","Cobrado",IF(K6&lt;Resumen!$B$1,"Vencido","Al día"))</f>
        <v/>
      </c>
    </row>
    <row r="7">
      <c r="A7" s="3" t="n">
        <v>46280</v>
      </c>
      <c r="B7" t="inlineStr">
        <is>
          <t>KIOSCO LA ESQUINA</t>
        </is>
      </c>
      <c r="C7">
        <f>PROPER(TRIM(B7))</f>
        <v/>
      </c>
      <c r="D7" t="inlineStr">
        <is>
          <t>V03 | Tomás Gil</t>
        </is>
      </c>
      <c r="E7">
        <f>_xlfn.TEXTAFTER(D7,"| ")</f>
        <v/>
      </c>
      <c r="F7" t="inlineStr">
        <is>
          <t>LIM-030</t>
        </is>
      </c>
      <c r="G7" t="n">
        <v>25</v>
      </c>
      <c r="H7">
        <f>_xlfn.XLOOKUP(F7,Productos!A:A,Productos!C:C,"Código no existe")</f>
        <v/>
      </c>
      <c r="I7">
        <f>_xlfn.IFS(G7*H7&gt;=100000,10%,G7*H7&gt;=40000,5%,TRUE,0)</f>
        <v/>
      </c>
      <c r="J7">
        <f>G7*H7*(1-I7)</f>
        <v/>
      </c>
      <c r="K7" s="3">
        <f>EOMONTH(A7,1)</f>
        <v/>
      </c>
      <c r="L7" t="inlineStr">
        <is>
          <t>No</t>
        </is>
      </c>
      <c r="M7">
        <f>IF(L7="Sí","Cobrado",IF(K7&lt;Resumen!$B$1,"Vencido","Al día"))</f>
        <v/>
      </c>
    </row>
    <row r="8">
      <c r="A8" s="3" t="n">
        <v>46288</v>
      </c>
      <c r="B8" t="inlineStr">
        <is>
          <t xml:space="preserve">librería san martín srl </t>
        </is>
      </c>
      <c r="C8">
        <f>PROPER(TRIM(B8))</f>
        <v/>
      </c>
      <c r="D8" t="inlineStr">
        <is>
          <t>V01 | Diego Paz</t>
        </is>
      </c>
      <c r="E8">
        <f>_xlfn.TEXTAFTER(D8,"| ")</f>
        <v/>
      </c>
      <c r="F8" t="inlineStr">
        <is>
          <t>PAP-220</t>
        </is>
      </c>
      <c r="G8" t="n">
        <v>40</v>
      </c>
      <c r="H8">
        <f>_xlfn.XLOOKUP(F8,Productos!A:A,Productos!C:C,"Código no existe")</f>
        <v/>
      </c>
      <c r="I8">
        <f>_xlfn.IFS(G8*H8&gt;=100000,10%,G8*H8&gt;=40000,5%,TRUE,0)</f>
        <v/>
      </c>
      <c r="J8">
        <f>G8*H8*(1-I8)</f>
        <v/>
      </c>
      <c r="K8" s="3">
        <f>EOMONTH(A8,1)</f>
        <v/>
      </c>
      <c r="L8" t="inlineStr">
        <is>
          <t>Sí</t>
        </is>
      </c>
      <c r="M8">
        <f>IF(L8="Sí","Cobrado",IF(K8&lt;Resumen!$B$1,"Vencido","Al día"))</f>
        <v/>
      </c>
    </row>
    <row r="9">
      <c r="A9" s="3" t="n">
        <v>46295</v>
      </c>
      <c r="B9" t="inlineStr">
        <is>
          <t>Hotel  Mirador</t>
        </is>
      </c>
      <c r="C9">
        <f>PROPER(TRIM(B9))</f>
        <v/>
      </c>
      <c r="D9" t="inlineStr">
        <is>
          <t>V01 | Diego Paz</t>
        </is>
      </c>
      <c r="E9">
        <f>_xlfn.TEXTAFTER(D9,"| ")</f>
        <v/>
      </c>
      <c r="F9" t="inlineStr">
        <is>
          <t>LIM-040</t>
        </is>
      </c>
      <c r="G9" t="n">
        <v>12</v>
      </c>
      <c r="H9">
        <f>_xlfn.XLOOKUP(F9,Productos!A:A,Productos!C:C,"Código no existe")</f>
        <v/>
      </c>
      <c r="I9">
        <f>_xlfn.IFS(G9*H9&gt;=100000,10%,G9*H9&gt;=40000,5%,TRUE,0)</f>
        <v/>
      </c>
      <c r="J9">
        <f>G9*H9*(1-I9)</f>
        <v/>
      </c>
      <c r="K9" s="3">
        <f>EOMONTH(A9,1)</f>
        <v/>
      </c>
      <c r="L9" t="inlineStr">
        <is>
          <t>No</t>
        </is>
      </c>
      <c r="M9">
        <f>IF(L9="Sí","Cobrado",IF(K9&lt;Resumen!$B$1,"Vencido","Al día"))</f>
        <v/>
      </c>
    </row>
    <row r="10">
      <c r="A10" s="3" t="n">
        <v>46301</v>
      </c>
      <c r="B10" t="inlineStr">
        <is>
          <t>colegio nuevo horizonte</t>
        </is>
      </c>
      <c r="C10">
        <f>PROPER(TRIM(B10))</f>
        <v/>
      </c>
      <c r="D10" t="inlineStr">
        <is>
          <t>V02 | Carla Ruiz</t>
        </is>
      </c>
      <c r="E10">
        <f>_xlfn.TEXTAFTER(D10,"| ")</f>
        <v/>
      </c>
      <c r="F10" t="inlineStr">
        <is>
          <t>PAP-220</t>
        </is>
      </c>
      <c r="G10" t="n">
        <v>150</v>
      </c>
      <c r="H10">
        <f>_xlfn.XLOOKUP(F10,Productos!A:A,Productos!C:C,"Código no existe")</f>
        <v/>
      </c>
      <c r="I10">
        <f>_xlfn.IFS(G10*H10&gt;=100000,10%,G10*H10&gt;=40000,5%,TRUE,0)</f>
        <v/>
      </c>
      <c r="J10">
        <f>G10*H10*(1-I10)</f>
        <v/>
      </c>
      <c r="K10" s="3">
        <f>EOMONTH(A10,1)</f>
        <v/>
      </c>
      <c r="L10" t="inlineStr">
        <is>
          <t>No</t>
        </is>
      </c>
      <c r="M10">
        <f>IF(L10="Sí","Cobrado",IF(K10&lt;Resumen!$B$1,"Vencido","Al día"))</f>
        <v/>
      </c>
    </row>
    <row r="11">
      <c r="A11" s="3" t="n">
        <v>46309</v>
      </c>
      <c r="B11" t="inlineStr">
        <is>
          <t xml:space="preserve">hotel mirador </t>
        </is>
      </c>
      <c r="C11">
        <f>PROPER(TRIM(B11))</f>
        <v/>
      </c>
      <c r="D11" t="inlineStr">
        <is>
          <t>V03 | Tomás Gil</t>
        </is>
      </c>
      <c r="E11">
        <f>_xlfn.TEXTAFTER(D11,"| ")</f>
        <v/>
      </c>
      <c r="F11" t="inlineStr">
        <is>
          <t>LIM-040</t>
        </is>
      </c>
      <c r="G11" t="n">
        <v>30</v>
      </c>
      <c r="H11">
        <f>_xlfn.XLOOKUP(F11,Productos!A:A,Productos!C:C,"Código no existe")</f>
        <v/>
      </c>
      <c r="I11">
        <f>_xlfn.IFS(G11*H11&gt;=100000,10%,G11*H11&gt;=40000,5%,TRUE,0)</f>
        <v/>
      </c>
      <c r="J11">
        <f>G11*H11*(1-I11)</f>
        <v/>
      </c>
      <c r="K11" s="3">
        <f>EOMONTH(A11,1)</f>
        <v/>
      </c>
      <c r="L11" t="inlineStr">
        <is>
          <t>No</t>
        </is>
      </c>
      <c r="M11">
        <f>IF(L11="Sí","Cobrado",IF(K11&lt;Resumen!$B$1,"Vencido","Al día"))</f>
        <v/>
      </c>
    </row>
    <row r="12">
      <c r="A12" s="3" t="n">
        <v>46317</v>
      </c>
      <c r="B12" t="inlineStr">
        <is>
          <t>Kiosco La Esquina</t>
        </is>
      </c>
      <c r="C12">
        <f>PROPER(TRIM(B12))</f>
        <v/>
      </c>
      <c r="D12" t="inlineStr">
        <is>
          <t>V01 | Diego Paz</t>
        </is>
      </c>
      <c r="E12">
        <f>_xlfn.TEXTAFTER(D12,"| ")</f>
        <v/>
      </c>
      <c r="F12" t="inlineStr">
        <is>
          <t>PAP-210</t>
        </is>
      </c>
      <c r="G12" t="n">
        <v>10</v>
      </c>
      <c r="H12">
        <f>_xlfn.XLOOKUP(F12,Productos!A:A,Productos!C:C,"Código no existe")</f>
        <v/>
      </c>
      <c r="I12">
        <f>_xlfn.IFS(G12*H12&gt;=100000,10%,G12*H12&gt;=40000,5%,TRUE,0)</f>
        <v/>
      </c>
      <c r="J12">
        <f>G12*H12*(1-I12)</f>
        <v/>
      </c>
      <c r="K12" s="3">
        <f>EOMONTH(A12,1)</f>
        <v/>
      </c>
      <c r="L12" t="inlineStr">
        <is>
          <t>No</t>
        </is>
      </c>
      <c r="M12">
        <f>IF(L12="Sí","Cobrado",IF(K12&lt;Resumen!$B$1,"Vencido","Al día"))</f>
        <v/>
      </c>
    </row>
    <row r="13">
      <c r="A13" s="3" t="n">
        <v>46323</v>
      </c>
      <c r="B13" t="inlineStr">
        <is>
          <t>Ferretería El Tornillo</t>
        </is>
      </c>
      <c r="C13">
        <f>PROPER(TRIM(B13))</f>
        <v/>
      </c>
      <c r="D13" t="inlineStr">
        <is>
          <t>V02 | Carla Ruiz</t>
        </is>
      </c>
      <c r="E13">
        <f>_xlfn.TEXTAFTER(D13,"| ")</f>
        <v/>
      </c>
      <c r="F13" t="inlineStr">
        <is>
          <t>LIM-020</t>
        </is>
      </c>
      <c r="G13" t="n">
        <v>50</v>
      </c>
      <c r="H13">
        <f>_xlfn.XLOOKUP(F13,Productos!A:A,Productos!C:C,"Código no existe")</f>
        <v/>
      </c>
      <c r="I13">
        <f>_xlfn.IFS(G13*H13&gt;=100000,10%,G13*H13&gt;=40000,5%,TRUE,0)</f>
        <v/>
      </c>
      <c r="J13">
        <f>G13*H13*(1-I13)</f>
        <v/>
      </c>
      <c r="K13" s="3">
        <f>EOMONTH(A13,1)</f>
        <v/>
      </c>
      <c r="L13" t="inlineStr">
        <is>
          <t>Sí</t>
        </is>
      </c>
      <c r="M13">
        <f>IF(L13="Sí","Cobrado",IF(K13&lt;Resumen!$B$1,"Vencido","Al día"))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75" customWidth="1" min="1" max="1"/>
    <col width="40" customWidth="1" min="2" max="2"/>
    <col width="21.25" customWidth="1" min="3" max="3"/>
  </cols>
  <sheetData>
    <row r="1">
      <c r="A1" s="2" t="inlineStr">
        <is>
          <t>Código</t>
        </is>
      </c>
      <c r="B1" s="2" t="inlineStr">
        <is>
          <t>Producto</t>
        </is>
      </c>
      <c r="C1" s="2" t="inlineStr">
        <is>
          <t>Precio</t>
        </is>
      </c>
    </row>
    <row r="2">
      <c r="A2" t="inlineStr">
        <is>
          <t>LIM-010</t>
        </is>
      </c>
      <c r="B2" t="inlineStr">
        <is>
          <t>Cloro 5 L</t>
        </is>
      </c>
      <c r="C2" s="4" t="n">
        <v>2400</v>
      </c>
    </row>
    <row r="3">
      <c r="A3" t="inlineStr">
        <is>
          <t>LIM-020</t>
        </is>
      </c>
      <c r="B3" t="inlineStr">
        <is>
          <t>Detergente 5 L</t>
        </is>
      </c>
      <c r="C3" s="4" t="n">
        <v>3100</v>
      </c>
    </row>
    <row r="4">
      <c r="A4" t="inlineStr">
        <is>
          <t>LIM-030</t>
        </is>
      </c>
      <c r="B4" t="inlineStr">
        <is>
          <t>Desinfectante 1 L</t>
        </is>
      </c>
      <c r="C4" s="4" t="n">
        <v>1150</v>
      </c>
    </row>
    <row r="5">
      <c r="A5" t="inlineStr">
        <is>
          <t>LIM-040</t>
        </is>
      </c>
      <c r="B5" t="inlineStr">
        <is>
          <t>Papel higiénico x48</t>
        </is>
      </c>
      <c r="C5" s="4" t="n">
        <v>9800</v>
      </c>
    </row>
    <row r="6">
      <c r="A6" t="inlineStr">
        <is>
          <t>PAP-200</t>
        </is>
      </c>
      <c r="B6" t="inlineStr">
        <is>
          <t>Resma A4</t>
        </is>
      </c>
      <c r="C6" s="4" t="n">
        <v>4500</v>
      </c>
    </row>
    <row r="7">
      <c r="A7" t="inlineStr">
        <is>
          <t>PAP-210</t>
        </is>
      </c>
      <c r="B7" t="inlineStr">
        <is>
          <t>Cuadernos x10</t>
        </is>
      </c>
      <c r="C7" s="4" t="n">
        <v>6200</v>
      </c>
    </row>
    <row r="8">
      <c r="A8" t="inlineStr">
        <is>
          <t>PAP-220</t>
        </is>
      </c>
      <c r="B8" t="inlineStr">
        <is>
          <t>Bolígrafos x50</t>
        </is>
      </c>
      <c r="C8" s="4" t="n">
        <v>3900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5" customWidth="1" min="1" max="1"/>
    <col width="22.5" customWidth="1" min="2" max="2"/>
    <col width="10" customWidth="1" min="3" max="3"/>
    <col width="38.75" customWidth="1" min="4" max="4"/>
    <col width="20" customWidth="1" min="5" max="5"/>
    <col width="20" customWidth="1" min="6" max="6"/>
  </cols>
  <sheetData>
    <row r="1">
      <c r="A1" s="2" t="inlineStr">
        <is>
          <t>Fecha de corte</t>
        </is>
      </c>
      <c r="B1" s="5" t="n">
        <v>46330</v>
      </c>
      <c r="D1" s="2" t="inlineStr">
        <is>
          <t>Cliente</t>
        </is>
      </c>
      <c r="E1" s="2" t="inlineStr">
        <is>
          <t>Vence</t>
        </is>
      </c>
      <c r="F1" s="2" t="inlineStr">
        <is>
          <t>Neto</t>
        </is>
      </c>
    </row>
    <row r="2">
      <c r="A2" t="inlineStr">
        <is>
          <t>Ventas del mes</t>
        </is>
      </c>
      <c r="B2" s="3" t="n">
        <v>46296</v>
      </c>
      <c r="D2" cm="1">
        <f t="array" ref="D2">IFERROR(_xlfn._xlws.SORT(_xlfn._xlws.FILTER(_xlfn.CHOOSECOLS(Pedidos!A2:M13,3,11,10),Pedidos!M2:M13="Vencido"),3,-1),"Sin vencidos")</f>
        <v/>
      </c>
      <c r="E2" s="3" t="n"/>
    </row>
    <row r="3">
      <c r="A3" t="inlineStr">
        <is>
          <t>Diego Paz</t>
        </is>
      </c>
      <c r="B3">
        <f>SUMIFS(Pedidos!J:J,Pedidos!E:E,A3,Pedidos!A:A,"&gt;="&amp;$B$2,Pedidos!A:A,"&lt;="&amp;EOMONTH($B$2,0))</f>
        <v/>
      </c>
      <c r="E3" s="3" t="n"/>
    </row>
    <row r="4">
      <c r="A4" t="inlineStr">
        <is>
          <t>Carla Ruiz</t>
        </is>
      </c>
      <c r="B4">
        <f>SUMIFS(Pedidos!J:J,Pedidos!E:E,A4,Pedidos!A:A,"&gt;="&amp;$B$2,Pedidos!A:A,"&lt;="&amp;EOMONTH($B$2,0))</f>
        <v/>
      </c>
      <c r="E4" s="3" t="n"/>
    </row>
    <row r="5">
      <c r="A5" t="inlineStr">
        <is>
          <t>Tomás Gil</t>
        </is>
      </c>
      <c r="B5">
        <f>SUMIFS(Pedidos!J:J,Pedidos!E:E,A5,Pedidos!A:A,"&gt;="&amp;$B$2,Pedidos!A:A,"&lt;="&amp;EOMONTH($B$2,0))</f>
        <v/>
      </c>
      <c r="E5" s="3" t="n"/>
    </row>
    <row r="7">
      <c r="A7" t="inlineStr">
        <is>
          <t>Cliente</t>
        </is>
      </c>
      <c r="B7" t="inlineStr">
        <is>
          <t>Vencidas</t>
        </is>
      </c>
    </row>
    <row r="8">
      <c r="A8" cm="1">
        <f t="array" ref="A8">_xlfn._xlws.SORT(_xlfn.UNIQUE(Pedidos!C2:C13))</f>
        <v/>
      </c>
      <c r="B8">
        <f>COUNTIFS(Pedidos!C:C,A8,Pedidos!M:M,"Vencido")</f>
        <v/>
      </c>
    </row>
    <row r="9">
      <c r="B9">
        <f>COUNTIFS(Pedidos!C:C,A9,Pedidos!M:M,"Vencido")</f>
        <v/>
      </c>
    </row>
    <row r="10">
      <c r="B10">
        <f>COUNTIFS(Pedidos!C:C,A10,Pedidos!M:M,"Vencido")</f>
        <v/>
      </c>
    </row>
    <row r="11">
      <c r="B11">
        <f>COUNTIFS(Pedidos!C:C,A11,Pedidos!M:M,"Vencido")</f>
        <v/>
      </c>
    </row>
    <row r="12">
      <c r="B12">
        <f>COUNTIFS(Pedidos!C:C,A12,Pedidos!M:M,"Vencido")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2026-10-25T22:21:06Z</dcterms:created>
  <dcterms:modified xmlns:dcterms="http://purl.org/dc/terms/" xmlns:xsi="http://www.w3.org/2001/XMLSchema-instance" xsi:type="dcterms:W3CDTF">2026-10-25T22:21:06Z</dcterms:modified>
</cp:coreProperties>
</file>