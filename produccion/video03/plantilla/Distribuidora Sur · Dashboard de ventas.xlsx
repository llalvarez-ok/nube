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h:mm:ss"/>
    <numFmt numFmtId="165" formatCode="dd/mm/yyyy"/>
    <numFmt numFmtId="166" formatCode="0.0%"/>
    <numFmt numFmtId="167" formatCode="mmm"/>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167" fontId="0" fillId="0" borderId="0" pivotButton="0" quotePrefix="0" xfId="0"/>
    <xf numFmtId="166"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outlineLevelCol="0"/>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Dashboard!B1 tiene =HOY(): el tablero se actualiza solo cada día. Para ver los números del video, escribe 03/11/2026 en Dashboard!B1. Los pedidos son ficticios. Sin macros, sin vínculos externos y sin tablas dinámicas. La hoja Prompts trae todas las fórmulas de la plantilla (verificadas) y, al lado, la respuesta de Claude con su fecha.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1"/>
  <sheetViews>
    <sheetView workbookViewId="0">
      <pane ySplit="1" topLeftCell="A2" activePane="bottomLeft" state="frozen"/>
      <selection pane="bottomLeft" activeCell="A1" sqref="A1"/>
    </sheetView>
  </sheetViews>
  <sheetFormatPr baseColWidth="8" defaultRowHeight="15" outlineLevelCol="0"/>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 width="8" customWidth="1" min="12" max="12"/>
    <col width="27.5" customWidth="1" min="13" max="13"/>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c r="M1" t="inlineStr">
        <is>
          <t>Total de la Tabla (comprobación)</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c r="M2" s="4">
        <f>SUM(Pedidos[Neto])</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outlineLevelCol="0"/>
  <cols>
    <col width="42.5" customWidth="1" min="1" max="1"/>
    <col width="2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f>TODAY()</f>
        <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F2" s="4" t="n"/>
      <c r="H2" s="8">
        <f>DATE(YEAR($B$1),1,1)</f>
        <v/>
      </c>
      <c r="I2" s="4">
        <f>SUMIFS(Pedidos[Neto],Pedidos[Fecha],"&gt;="&amp;H2,Pedidos[Fecha],"&lt;="&amp;MIN(EOMONTH(H2,0),$B$1))</f>
        <v/>
      </c>
      <c r="K2" t="inlineStr">
        <is>
          <t>Diego Paz</t>
        </is>
      </c>
      <c r="L2" s="4">
        <f>SUMIFS(Pedidos[Neto],Pedidos[Vendedor],K2,Pedidos[Fecha],"&gt;="&amp;DATE(YEAR($B$1),1,1),Pedidos[Fecha],"&lt;="&amp;$B$1)</f>
        <v/>
      </c>
      <c r="N2" t="inlineStr">
        <is>
          <t>LIM-010</t>
        </is>
      </c>
      <c r="O2" s="4">
        <f>SUMIFS(Pedidos[Neto],Pedidos[Código],N2,Pedidos[Vendedor],IF($B$2="Todos","*",$B$2),Pedidos[Fecha],"&gt;="&amp;DATE(YEAR($B$1),1,1),Pedidos[Fecha],"&lt;="&amp;$B$1)</f>
        <v/>
      </c>
    </row>
    <row r="3">
      <c r="A3" t="inlineStr">
        <is>
          <t>Ventas del año</t>
        </is>
      </c>
      <c r="B3" s="4">
        <f>SUMIFS(Pedidos[Neto],Pedidos[Fecha],"&gt;="&amp;DATE(YEAR(B1),1,1),Pedidos[Fecha],"&lt;="&amp;B1)</f>
        <v/>
      </c>
      <c r="E3" s="3" t="n"/>
      <c r="F3" s="4" t="n"/>
      <c r="H3" s="8">
        <f>DATE(YEAR($B$1),2,1)</f>
        <v/>
      </c>
      <c r="I3" s="4">
        <f>SUMIFS(Pedidos[Neto],Pedidos[Fecha],"&gt;="&amp;H3,Pedidos[Fecha],"&lt;="&amp;MIN(EOMONTH(H3,0),$B$1))</f>
        <v/>
      </c>
      <c r="K3" t="inlineStr">
        <is>
          <t>Carla Ruiz</t>
        </is>
      </c>
      <c r="L3" s="4">
        <f>SUMIFS(Pedidos[Neto],Pedidos[Vendedor],K3,Pedidos[Fecha],"&gt;="&amp;DATE(YEAR($B$1),1,1),Pedidos[Fecha],"&lt;="&amp;$B$1)</f>
        <v/>
      </c>
      <c r="N3" t="inlineStr">
        <is>
          <t>LIM-020</t>
        </is>
      </c>
      <c r="O3" s="4">
        <f>SUMIFS(Pedidos[Neto],Pedidos[Código],N3,Pedidos[Vendedor],IF($B$2="Todos","*",$B$2),Pedidos[Fecha],"&gt;="&amp;DATE(YEAR($B$1),1,1),Pedidos[Fecha],"&lt;="&amp;$B$1)</f>
        <v/>
      </c>
    </row>
    <row r="4">
      <c r="A4" t="inlineStr">
        <is>
          <t>Pedidos del año</t>
        </is>
      </c>
      <c r="B4" s="4">
        <f>COUNTIFS(Pedidos[Fecha],"&gt;="&amp;DATE(YEAR(B1),1,1),Pedidos[Fecha],"&lt;="&amp;B1)</f>
        <v/>
      </c>
      <c r="E4" s="3" t="n"/>
      <c r="F4" s="4" t="n"/>
      <c r="H4" s="8">
        <f>DATE(YEAR($B$1),3,1)</f>
        <v/>
      </c>
      <c r="I4" s="4">
        <f>SUMIFS(Pedidos[Neto],Pedidos[Fecha],"&gt;="&amp;H4,Pedidos[Fecha],"&lt;="&amp;MIN(EOMONTH(H4,0),$B$1))</f>
        <v/>
      </c>
      <c r="K4" t="inlineStr">
        <is>
          <t>Tomás Gil</t>
        </is>
      </c>
      <c r="L4" s="4">
        <f>SUMIFS(Pedidos[Neto],Pedidos[Vendedor],K4,Pedidos[Fecha],"&gt;="&amp;DATE(YEAR($B$1),1,1),Pedidos[Fecha],"&lt;="&amp;$B$1)</f>
        <v/>
      </c>
      <c r="N4" t="inlineStr">
        <is>
          <t>LIM-030</t>
        </is>
      </c>
      <c r="O4" s="4">
        <f>SUMIFS(Pedidos[Neto],Pedidos[Código],N4,Pedidos[Vendedor],IF($B$2="Todos","*",$B$2),Pedidos[Fecha],"&gt;="&amp;DATE(YEAR($B$1),1,1),Pedidos[Fecha],"&lt;="&amp;$B$1)</f>
        <v/>
      </c>
    </row>
    <row r="5">
      <c r="A5" t="inlineStr">
        <is>
          <t>Último mes cerrado</t>
        </is>
      </c>
      <c r="B5" s="4">
        <f>SUMIFS(Pedidos[Neto],Pedidos[Fecha],"&gt;"&amp;EOMONTH(B1,-2),Pedidos[Fecha],"&lt;="&amp;EOMONTH(B1,-1))</f>
        <v/>
      </c>
      <c r="E5" s="3" t="n"/>
      <c r="F5" s="4" t="n"/>
      <c r="H5" s="8">
        <f>DATE(YEAR($B$1),4,1)</f>
        <v/>
      </c>
      <c r="I5" s="4">
        <f>SUMIFS(Pedidos[Neto],Pedidos[Fecha],"&gt;="&amp;H5,Pedidos[Fecha],"&lt;="&amp;MIN(EOMONTH(H5,0),$B$1))</f>
        <v/>
      </c>
      <c r="N5" t="inlineStr">
        <is>
          <t>LIM-040</t>
        </is>
      </c>
      <c r="O5" s="4">
        <f>SUMIFS(Pedidos[Neto],Pedidos[Código],N5,Pedidos[Vendedor],IF($B$2="Todos","*",$B$2),Pedidos[Fecha],"&gt;="&amp;DATE(YEAR($B$1),1,1),Pedidos[Fecha],"&lt;="&amp;$B$1)</f>
        <v/>
      </c>
    </row>
    <row r="6">
      <c r="A6" t="inlineStr">
        <is>
          <t>Este mes (hasta el corte)</t>
        </is>
      </c>
      <c r="B6" s="4">
        <f>SUMIFS(Pedidos[Neto],Pedidos[Fecha],"&gt;"&amp;EOMONTH(B1,-1),Pedidos[Fecha],"&lt;="&amp;B1)</f>
        <v/>
      </c>
      <c r="E6" s="3" t="n"/>
      <c r="F6" s="4" t="n"/>
      <c r="H6" s="8">
        <f>DATE(YEAR($B$1),5,1)</f>
        <v/>
      </c>
      <c r="I6" s="4">
        <f>SUMIFS(Pedidos[Neto],Pedidos[Fecha],"&gt;="&amp;H6,Pedidos[Fecha],"&lt;="&amp;MIN(EOMONTH(H6,0),$B$1))</f>
        <v/>
      </c>
      <c r="N6" t="inlineStr">
        <is>
          <t>PAP-200</t>
        </is>
      </c>
      <c r="O6" s="4">
        <f>SUMIFS(Pedidos[Neto],Pedidos[Código],N6,Pedidos[Vendedor],IF($B$2="Todos","*",$B$2),Pedidos[Fecha],"&gt;="&amp;DATE(YEAR($B$1),1,1),Pedidos[Fecha],"&lt;="&amp;$B$1)</f>
        <v/>
      </c>
    </row>
    <row r="7">
      <c r="A7" t="inlineStr">
        <is>
          <t>Mes cerrado vs. el anterior</t>
        </is>
      </c>
      <c r="B7" s="9">
        <f>B5/SUMIFS(Pedidos[Neto],Pedidos[Fecha],"&gt;"&amp;EOMONTH(B1,-3),Pedidos[Fecha],"&lt;="&amp;EOMONTH(B1,-2))-1</f>
        <v/>
      </c>
      <c r="E7" s="3" t="n"/>
      <c r="F7" s="4" t="n"/>
      <c r="H7" s="8">
        <f>DATE(YEAR($B$1),6,1)</f>
        <v/>
      </c>
      <c r="I7" s="4">
        <f>SUMIFS(Pedidos[Neto],Pedidos[Fecha],"&gt;="&amp;H7,Pedidos[Fecha],"&lt;="&amp;MIN(EOMONTH(H7,0),$B$1))</f>
        <v/>
      </c>
      <c r="N7" t="inlineStr">
        <is>
          <t>PAP-210</t>
        </is>
      </c>
      <c r="O7" s="4">
        <f>SUMIFS(Pedidos[Neto],Pedidos[Código],N7,Pedidos[Vendedor],IF($B$2="Todos","*",$B$2),Pedidos[Fecha],"&gt;="&amp;DATE(YEAR($B$1),1,1),Pedidos[Fecha],"&lt;="&amp;$B$1)</f>
        <v/>
      </c>
    </row>
    <row r="8">
      <c r="A8" t="inlineStr">
        <is>
          <t>Mismo tramo vs. anterior</t>
        </is>
      </c>
      <c r="B8" s="9">
        <f>B6/SUMIFS(Pedidos[Neto],Pedidos[Fecha],"&gt;"&amp;EOMONTH(B1,-2),Pedidos[Fecha],"&lt;="&amp;EDATE(B1,-1))-1</f>
        <v/>
      </c>
      <c r="E8" s="3" t="n"/>
      <c r="F8" s="4" t="n"/>
      <c r="H8" s="8">
        <f>DATE(YEAR($B$1),7,1)</f>
        <v/>
      </c>
      <c r="I8" s="4">
        <f>SUMIFS(Pedidos[Neto],Pedidos[Fecha],"&gt;="&amp;H8,Pedidos[Fecha],"&lt;="&amp;MIN(EOMONTH(H8,0),$B$1))</f>
        <v/>
      </c>
      <c r="N8" t="inlineStr">
        <is>
          <t>PAP-220</t>
        </is>
      </c>
      <c r="O8" s="4">
        <f>SUMIFS(Pedidos[Neto],Pedidos[Código],N8,Pedidos[Vendedor],IF($B$2="Todos","*",$B$2),Pedidos[Fecha],"&gt;="&amp;DATE(YEAR($B$1),1,1),Pedidos[Fecha],"&lt;="&amp;$B$1)</f>
        <v/>
      </c>
    </row>
    <row r="9">
      <c r="E9" s="3" t="n"/>
      <c r="F9" s="4" t="n"/>
      <c r="H9" s="8">
        <f>DATE(YEAR($B$1),8,1)</f>
        <v/>
      </c>
      <c r="I9" s="4">
        <f>SUMIFS(Pedidos[Neto],Pedidos[Fecha],"&gt;="&amp;H9,Pedidos[Fecha],"&lt;="&amp;MIN(EOMONTH(H9,0),$B$1))</f>
        <v/>
      </c>
    </row>
    <row r="10">
      <c r="A10" t="inlineStr">
        <is>
          <t>Ventas del vendedor</t>
        </is>
      </c>
      <c r="B10" s="4">
        <f>SUMIFS(Pedidos[Neto],Pedidos[Vendedor],IF(B2="Todos","*",B2),Pedidos[Fecha],"&gt;="&amp;DATE(YEAR(B1),1,1),Pedidos[Fecha],"&lt;="&amp;B1)</f>
        <v/>
      </c>
      <c r="E10" s="3" t="n"/>
      <c r="F10" s="4" t="n"/>
      <c r="H10" s="8">
        <f>DATE(YEAR($B$1),9,1)</f>
        <v/>
      </c>
      <c r="I10" s="4">
        <f>SUMIFS(Pedidos[Neto],Pedidos[Fecha],"&gt;="&amp;H10,Pedidos[Fecha],"&lt;="&amp;MIN(EOMONTH(H10,0),$B$1))</f>
        <v/>
      </c>
    </row>
    <row r="11">
      <c r="A11" t="inlineStr">
        <is>
          <t>Vencido sin cobrar</t>
        </is>
      </c>
      <c r="B11" s="4">
        <f>SUMIFS(Pedidos[Neto],Pedidos[Estado],"Vencido")</f>
        <v/>
      </c>
      <c r="E11" s="3" t="n"/>
      <c r="F11" s="4" t="n"/>
      <c r="H11" s="8">
        <f>DATE(YEAR($B$1),10,1)</f>
        <v/>
      </c>
      <c r="I11" s="4">
        <f>SUMIFS(Pedidos[Neto],Pedidos[Fecha],"&gt;="&amp;H11,Pedidos[Fecha],"&lt;="&amp;MIN(EOMONTH(H11,0),$B$1))</f>
        <v/>
      </c>
    </row>
    <row r="12">
      <c r="A12" t="inlineStr">
        <is>
          <t>Facturas vencidas</t>
        </is>
      </c>
      <c r="B12">
        <f>COUNTIF(Pedidos[Estado],"Vencido")</f>
        <v/>
      </c>
      <c r="E12" s="3" t="n"/>
      <c r="F12" s="4" t="n"/>
      <c r="H12" s="8">
        <f>DATE(YEAR($B$1),11,1)</f>
        <v/>
      </c>
      <c r="I12" s="4">
        <f>SUMIFS(Pedidos[Neto],Pedidos[Fecha],"&gt;="&amp;H12,Pedidos[Fecha],"&lt;="&amp;MIN(EOMONTH(H12,0),$B$1))</f>
        <v/>
      </c>
    </row>
    <row r="13">
      <c r="E13" s="3" t="n"/>
      <c r="F13" s="4" t="n"/>
      <c r="H13" s="8">
        <f>DATE(YEAR($B$1),12,1)</f>
        <v/>
      </c>
      <c r="I13" s="4">
        <f>SUMIFS(Pedidos[Neto],Pedidos[Fecha],"&gt;="&amp;H13,Pedidos[Fecha],"&lt;="&amp;MIN(EOMONTH(H13,0),$B$1))</f>
        <v/>
      </c>
    </row>
    <row r="14">
      <c r="E14" s="3" t="n"/>
      <c r="F14" s="4" t="n"/>
    </row>
    <row r="15">
      <c r="E15" s="3" t="n"/>
      <c r="F15" s="4" t="n"/>
    </row>
    <row r="16">
      <c r="E16" s="3" t="n"/>
      <c r="F16" s="4" t="n"/>
    </row>
    <row r="17">
      <c r="E17" s="3" t="n"/>
      <c r="F17" s="4" t="n"/>
    </row>
    <row r="18">
      <c r="E18" s="3" t="n"/>
      <c r="F18" s="4" t="n"/>
    </row>
    <row r="19">
      <c r="E19" s="3" t="n"/>
      <c r="F19" s="4" t="n"/>
    </row>
    <row r="20">
      <c r="E20" s="3" t="n"/>
      <c r="F20" s="4" t="n"/>
    </row>
    <row r="21">
      <c r="E21" s="3" t="n"/>
      <c r="F21" s="4" t="n"/>
    </row>
    <row r="22">
      <c r="E22" s="3" t="n"/>
      <c r="F22" s="4" t="n"/>
    </row>
    <row r="23">
      <c r="E23" s="3" t="n"/>
      <c r="F23" s="4" t="n"/>
    </row>
    <row r="24">
      <c r="E24" s="3" t="n"/>
      <c r="F24" s="4" t="n"/>
    </row>
    <row r="25">
      <c r="E25" s="3" t="n"/>
      <c r="F25" s="4" t="n"/>
    </row>
    <row r="26">
      <c r="E26" s="3" t="n"/>
      <c r="F26" s="4" t="n"/>
    </row>
    <row r="27">
      <c r="E27" s="3" t="n"/>
      <c r="F27" s="4" t="n"/>
    </row>
    <row r="28">
      <c r="E28" s="3" t="n"/>
      <c r="F28" s="4" t="n"/>
    </row>
    <row r="29">
      <c r="E29" s="3" t="n"/>
      <c r="F29" s="4" t="n"/>
    </row>
    <row r="30">
      <c r="E30" s="3" t="n"/>
      <c r="F30" s="4" t="n"/>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outlineLevelCol="0"/>
  <cols>
    <col width="10" customWidth="1" min="1" max="1"/>
    <col width="27.5" customWidth="1" min="2" max="2"/>
    <col width="100" customWidth="1" min="3" max="3"/>
    <col width="77.5" customWidth="1" min="4" max="4"/>
    <col width="52.5" customWidth="1" min="5" max="5"/>
    <col width="60" customWidth="1" min="6" max="6"/>
  </cols>
  <sheetData>
    <row r="1">
      <c r="A1" s="10" t="inlineStr">
        <is>
          <t>#</t>
        </is>
      </c>
      <c r="B1" s="10" t="inlineStr">
        <is>
          <t>Bloque</t>
        </is>
      </c>
      <c r="C1" s="10" t="inlineStr">
        <is>
          <t>Prompt (Mapa · Meta · Prueba)</t>
        </is>
      </c>
      <c r="D1" s="10" t="inlineStr">
        <is>
          <t>Fórmula de la plantilla (verificada)</t>
        </is>
      </c>
      <c r="E1" s="10" t="inlineStr">
        <is>
          <t>Respuesta de Claude (fecha)</t>
        </is>
      </c>
      <c r="F1" s="10" t="inlineStr">
        <is>
          <t>Qué revisar</t>
        </is>
      </c>
    </row>
    <row r="2">
      <c r="A2" s="11" t="n">
        <v>0</v>
      </c>
      <c r="B2" s="11" t="inlineStr">
        <is>
          <t>Mapa (va primero, una sola vez)</t>
        </is>
      </c>
      <c r="C2" s="11"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F2" s="11" t="inlineStr">
        <is>
          <t>Solo nombres de columnas: nunca pegues datos reales de clientes. ¿Tu Excel usa coma? Dilo en el mapa.</t>
        </is>
      </c>
    </row>
    <row r="3">
      <c r="A3" s="11" t="n">
        <v>1</v>
      </c>
      <c r="B3" s="11" t="inlineStr">
        <is>
          <t>Mensaje único (lo probé)</t>
        </is>
      </c>
      <c r="C3" s="11" t="inlineStr">
        <is>
          <t>Te adjunto Distribuidora Sur - Pedidos 2026.xlsx (datos ficticios). Hazme un dashboard de ventas en Excel para la reunión del lunes: indicadores, gráficos y un filtro por vendedor, que se actualice cuando pegue pedidos nuevos.</t>
        </is>
      </c>
      <c r="E3" s="11" t="inlineStr">
        <is>
          <t>[PENDIENTE: respuesta real]</t>
        </is>
      </c>
      <c r="F3" s="11" t="inlineStr">
        <is>
          <t>¿Es un Excel o una página? ¿Se rehace al pegar? ¿Sus números coinciden con los tuyos?</t>
        </is>
      </c>
    </row>
    <row r="4">
      <c r="A4" s="11" t="n">
        <v>2</v>
      </c>
      <c r="B4" s="11" t="inlineStr">
        <is>
          <t>Pregunta 1 · Meta (B3, B4, B5)</t>
        </is>
      </c>
      <c r="C4" s="11" t="inlineStr">
        <is>
          <t>En Dashboard!B3, las ventas netas del año hasta la fecha de corte. En B4, cuántos pedidos hay en ese período. En B5, las ventas del último mes cerrado antes de la fecha de corte.</t>
        </is>
      </c>
      <c r="D4" s="11" t="inlineStr">
        <is>
          <t>B3 =SUMAR.SI.CONJUNTO(Pedidos[Neto];Pedidos[Fecha];"&gt;="&amp;FECHA(AÑO(B1);1;1);Pedidos[Fecha];"&lt;="&amp;B1)
B4 =CONTAR.SI.CONJUNTO(Pedidos[Fecha];"&gt;="&amp;FECHA(AÑO(B1);1;1);Pedidos[Fecha];"&lt;="&amp;B1)
B5 =SUMAR.SI.CONJUNTO(Pedidos[Neto];Pedidos[Fecha];"&gt;"&amp;FIN.MES(B1;-2);Pedidos[Fecha];"&lt;="&amp;FIN.MES(B1;-1))</t>
        </is>
      </c>
      <c r="E4" s="11" t="inlineStr">
        <is>
          <t>[PENDIENTE: respuesta real]</t>
        </is>
      </c>
      <c r="F4" s="11" t="inlineStr">
        <is>
          <t>Que usen la Tabla (Pedidos[Neto]) y no un rango fijo como H2:H250.</t>
        </is>
      </c>
    </row>
    <row r="5">
      <c r="A5" s="11" t="n">
        <v>3</v>
      </c>
      <c r="B5" s="11" t="inlineStr">
        <is>
          <t>Pregunta 2 · Meta (B6 y gráfico)</t>
        </is>
      </c>
      <c r="C5" s="11" t="inlineStr">
        <is>
          <t>En B6, las ventas de este mes hasta la fecha de corte, y en B7 la variación de este mes contra el mes anterior, en porcentaje. Para el gráfico, en H2:I13, las ventas de cada mes del año, de enero a diciembre.</t>
        </is>
      </c>
      <c r="D5" s="11" t="inlineStr">
        <is>
          <t>B6 =SUMAR.SI.CONJUNTO(Pedidos[Neto];Pedidos[Fecha];"&gt;"&amp;FIN.MES(B1;-1);Pedidos[Fecha];"&lt;="&amp;B1)
H2 =FECHA(AÑO($B$1);1;1) (y 2…12 hacia abajo)
I2 =SUMAR.SI.CONJUNTO(Pedidos[Neto];Pedidos[Fecha];"&gt;="&amp;H2;Pedidos[Fecha];"&lt;="&amp;MIN(FIN.MES(H2;0);$B$1))</t>
        </is>
      </c>
      <c r="E5" s="11" t="inlineStr">
        <is>
          <t>[PENDIENTE: respuesta real]</t>
        </is>
      </c>
      <c r="F5" s="11" t="inlineStr">
        <is>
          <t>Meses fijos de enero a diciembre, para que el mes nuevo ya tenga su barra.</t>
        </is>
      </c>
    </row>
    <row r="6">
      <c r="A6" s="11" t="inlineStr">
        <is>
          <t>3b</t>
        </is>
      </c>
      <c r="B6" s="11" t="inlineStr">
        <is>
          <t>La ingenua, para que la veas (no está en el Dashboard)</t>
        </is>
      </c>
      <c r="C6" s="11" t="inlineStr">
        <is>
          <t>—</t>
        </is>
      </c>
      <c r="D6" s="11" t="inlineStr">
        <is>
          <t>=B6/B5-1  → el día 3 del mes da −90,4 %: compara 3 días con un mes completo</t>
        </is>
      </c>
      <c r="F6" s="11" t="inlineStr">
        <is>
          <t>No la uses para decidir: es la tarjeta que corrige la Prueba.</t>
        </is>
      </c>
    </row>
    <row r="7">
      <c r="A7" s="11" t="n">
        <v>4</v>
      </c>
      <c r="B7" s="11" t="inlineStr">
        <is>
          <t>Pregunta 3 · Meta (B10 y productos)</t>
        </is>
      </c>
      <c r="C7" s="11" t="inlineStr">
        <is>
          <t>En B2 pondré una lista desplegable con Todos, Diego Paz, Carla Ruiz y Tomás Gil. En B10 quiero las ventas del año del vendedor de B2; si dice Todos, las de todos. Y el mismo filtro para las ventas por producto de O2:O8.</t>
        </is>
      </c>
      <c r="D7" s="11" t="inlineStr">
        <is>
          <t>B10 =SUMAR.SI.CONJUNTO(Pedidos[Neto];Pedidos[Vendedor];SI(B2="Todos";"*";B2);Pedidos[Fecha];"&gt;="&amp;FECHA(AÑO(B1);1;1);Pedidos[Fecha];"&lt;="&amp;B1)
L2 =SUMAR.SI.CONJUNTO(Pedidos[Neto];Pedidos[Vendedor];K2;Pedidos[Fecha];"&gt;="&amp;FECHA(AÑO($B$1);1;1);Pedidos[Fecha];"&lt;="&amp;$B$1)
O2 =SUMAR.SI.CONJUNTO(Pedidos[Neto];Pedidos[Código];N2;Pedidos[Vendedor];SI($B$2="Todos";"*";$B$2);Pedidos[Fecha];"&gt;="&amp;FECHA(AÑO($B$1);1;1);Pedidos[Fecha];"&lt;="&amp;$B$1)</t>
        </is>
      </c>
      <c r="E7" s="11" t="inlineStr">
        <is>
          <t>[PENDIENTE: respuesta real]</t>
        </is>
      </c>
      <c r="F7" s="11" t="inlineStr">
        <is>
          <t>Que «Todos» use el comodín *; prueba un vendedor y compara con un filtro.</t>
        </is>
      </c>
    </row>
    <row r="8">
      <c r="A8" s="11" t="n">
        <v>5</v>
      </c>
      <c r="B8" s="11" t="inlineStr">
        <is>
          <t>La Prueba (el paso secreto: B7 y B8)</t>
        </is>
      </c>
      <c r="C8" s="11" t="inlineStr">
        <is>
          <t>Prueba: B7 es la variación de este mes contra el anterior (=B6/B5-1) y hoy muestra −90,4 %. ¿Qué situación puede hacer que esta tarjeta muestre un número creíble pero equivocado, sin dar error? ¿Qué debería mostrar con fecha de corte 03/11/2026?</t>
        </is>
      </c>
      <c r="D8" s="11" t="inlineStr">
        <is>
          <t>B7 =B5/SUMAR.SI.CONJUNTO(Pedidos[Neto];Pedidos[Fecha];"&gt;"&amp;FIN.MES(B1;-3);Pedidos[Fecha];"&lt;="&amp;FIN.MES(B1;-2))-1
B8 =B6/SUMAR.SI.CONJUNTO(Pedidos[Neto];Pedidos[Fecha];"&gt;"&amp;FIN.MES(B1;-2);Pedidos[Fecha];"&lt;="&amp;FECHA.MES(B1;-1))-1</t>
        </is>
      </c>
      <c r="E8" s="11" t="inlineStr">
        <is>
          <t>[PENDIENTE: respuesta real]</t>
        </is>
      </c>
      <c r="F8" s="11" t="inlineStr">
        <is>
          <t>Cambia la fecha de corte al último día del mes anterior: si el número cambia de signo, compara días distintos.</t>
        </is>
      </c>
    </row>
    <row r="9">
      <c r="A9" s="11" t="n">
        <v>6</v>
      </c>
      <c r="B9" s="11" t="inlineStr">
        <is>
          <t>Pregunta 4 · cobranza (D2, B11, B12)</t>
        </is>
      </c>
      <c r="C9" s="11" t="inlineStr">
        <is>
          <t>Meta: en D2, una lista que se actualice sola con Cliente, Vence y Neto de los pedidos con Estado Vencido, de mayor a menor neto; si no hay, que diga Sin vencidos.</t>
        </is>
      </c>
      <c r="D9" s="11" t="inlineStr">
        <is>
          <t>D2 =SI.ERROR(ORDENAR(FILTRAR(ELEGIRCOLS(Pedidos;2;9;8);Pedidos[Estado]="Vencido");3;-1);"Sin vencidos")
B11 =SUMAR.SI.CONJUNTO(Pedidos[Neto];Pedidos[Estado];"Vencido")
B12 =CONTAR.SI(Pedidos[Estado];"Vencido")</t>
        </is>
      </c>
      <c r="F9" s="11" t="inlineStr">
        <is>
          <t>Deja vacías las celdas de abajo de D2: la lista se desborda. ELEGIRCOLS no está en Excel 2021.</t>
        </is>
      </c>
    </row>
    <row r="10">
      <c r="A10" s="11" t="n">
        <v>7</v>
      </c>
      <c r="B10" s="11" t="inlineStr">
        <is>
          <t>Estado (hoja Pedidos, columna K)</t>
        </is>
      </c>
      <c r="C10" s="11" t="inlineStr">
        <is>
          <t>Se arma en el video «10 fórmulas de Excel con IA» (Distribuidora Sur).</t>
        </is>
      </c>
      <c r="D10" s="11" t="inlineStr">
        <is>
          <t>K2 =SI(J2="Sí";"Cobrado";SI(I2&lt;Dashboard!$B$1;"Vencido";"Al día"))</t>
        </is>
      </c>
      <c r="F10" s="11" t="inlineStr">
        <is>
          <t>Usa la fecha de corte de Dashboard!B1: con =HOY(), los vencidos cambian solos cada día.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outlineLevelCol="0"/>
  <cols>
    <col width="10" customWidth="1" min="1" max="1"/>
    <col width="112.5" customWidth="1" min="2" max="2"/>
  </cols>
  <sheetData>
    <row r="1">
      <c r="A1" s="10" t="inlineStr">
        <is>
          <t>Paso</t>
        </is>
      </c>
      <c r="B1" s="10" t="inlineStr">
        <is>
          <t>Cómo usar el dashboard con tus pedidos</t>
        </is>
      </c>
    </row>
    <row r="2">
      <c r="A2" s="11" t="n">
        <v>1</v>
      </c>
      <c r="B2" s="11" t="inlineStr">
        <is>
          <t>Dashboard!B1 ya tiene =HOY(). Si quieres otra fecha de corte, escríbela ahí (para ver el video: 03/11/2026). Si ves todo en 0 (por ejemplo, en 2027, con los pedidos de ejemplo de 2026), escribe 03/11/2026 en B1.</t>
        </is>
      </c>
    </row>
    <row r="3">
      <c r="A3" s="11" t="n">
        <v>2</v>
      </c>
      <c r="B3" s="11" t="inlineStr">
        <is>
          <t>En Pedidos, borra las filas de ejemplo (deja el encabezado: la Tabla se mantiene). El total de M2 suma toda la columna Neto de la Tabla (todos los años, sin filtros): es solo para comprobar que la Tabla creció al pegar. Está fuera de la Tabla, separado por la columna L vacía.</t>
        </is>
      </c>
    </row>
    <row r="4">
      <c r="A4" s="11" t="n">
        <v>3</v>
      </c>
      <c r="B4" s="11" t="inlineStr">
        <is>
          <t>Pega tus pedidos debajo del encabezado, con las mismas columnas y en el mismo orden. Si tu sistema trae otras columnas, ordénalas primero.</t>
        </is>
      </c>
    </row>
    <row r="5">
      <c r="A5" s="11" t="n">
        <v>4</v>
      </c>
      <c r="B5" s="11" t="inlineStr">
        <is>
          <t>Revisa que Fecha y Vence sean fechas (no texto) y que Neto sea número: si no, las sumas dan 0 sin avisar.</t>
        </is>
      </c>
    </row>
    <row r="6">
      <c r="A6" s="11" t="n">
        <v>5</v>
      </c>
      <c r="B6" s="11" t="inlineStr">
        <is>
          <t>Cada lunes, pega los pedidos nuevos debajo de la última fila. Mira la tarjeta del mes cerrado (B7), no la del mismo tramo.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2026-10-26T22:35:03Z</dcterms:created>
  <dcterms:modified xmlns:dcterms="http://purl.org/dc/terms/" xmlns:xsi="http://www.w3.org/2001/XMLSchema-instance" xsi:type="dcterms:W3CDTF">2026-10-26T22:35:03Z</dcterms:modified>
</cp:coreProperties>
</file>