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Pedidos" sheetId="2" state="visible" r:id="rId2"/>
    <sheet xmlns:r="http://schemas.openxmlformats.org/officeDocument/2006/relationships" name="Dashboard" sheetId="3" state="visible" r:id="rId3"/>
    <sheet xmlns:r="http://schemas.openxmlformats.org/officeDocument/2006/relationships" name="Prompts" sheetId="4" state="visible" r:id="rId4"/>
    <sheet xmlns:r="http://schemas.openxmlformats.org/officeDocument/2006/relationships" name="Tus datos" sheetId="5" state="visible" r:id="rId5"/>
  </sheets>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4">
    <numFmt numFmtId="164" formatCode="yyyy-mm-dd h:mm:ss"/>
    <numFmt numFmtId="165" formatCode="dd/mm/yyyy"/>
    <numFmt numFmtId="166" formatCode="0.0%"/>
    <numFmt numFmtId="167" formatCode="mmm"/>
  </numFmts>
  <fonts count="4">
    <font>
      <name val="Calibri"/>
      <family val="2"/>
      <color theme="1"/>
      <sz val="11"/>
      <scheme val="minor"/>
    </font>
    <font>
      <b val="1"/>
      <color rgb="00FFFFFF"/>
    </font>
    <font>
      <b val="1"/>
    </font>
    <font>
      <b val="1"/>
      <sz val="14"/>
    </font>
  </fonts>
  <fills count="3">
    <fill>
      <patternFill/>
    </fill>
    <fill>
      <patternFill patternType="gray125"/>
    </fill>
    <fill>
      <patternFill patternType="solid">
        <fgColor rgb="00107C41"/>
      </patternFill>
    </fill>
  </fills>
  <borders count="1">
    <border>
      <left/>
      <right/>
      <top/>
      <bottom/>
      <diagonal/>
    </border>
  </borders>
  <cellStyleXfs count="1">
    <xf numFmtId="0" fontId="0" fillId="0" borderId="0"/>
  </cellStyleXfs>
  <cellXfs count="12">
    <xf numFmtId="0" fontId="0" fillId="0" borderId="0" pivotButton="0" quotePrefix="0" xfId="0"/>
    <xf numFmtId="0" fontId="3" fillId="0" borderId="0" pivotButton="0" quotePrefix="0" xfId="0"/>
    <xf numFmtId="0" fontId="2" fillId="0" borderId="0" pivotButton="0" quotePrefix="0" xfId="0"/>
    <xf numFmtId="165" fontId="0" fillId="0" borderId="0" pivotButton="0" quotePrefix="0" xfId="0"/>
    <xf numFmtId="3" fontId="0" fillId="0" borderId="0" pivotButton="0" quotePrefix="0" xfId="0"/>
    <xf numFmtId="9" fontId="0" fillId="0" borderId="0" pivotButton="0" quotePrefix="0" xfId="0"/>
    <xf numFmtId="0" fontId="1" fillId="2" borderId="0" applyAlignment="1" pivotButton="0" quotePrefix="0" xfId="0">
      <alignment horizontal="center"/>
    </xf>
    <xf numFmtId="165" fontId="1" fillId="2" borderId="0" applyAlignment="1" pivotButton="0" quotePrefix="0" xfId="0">
      <alignment horizontal="center"/>
    </xf>
    <xf numFmtId="167" fontId="0" fillId="0" borderId="0" pivotButton="0" quotePrefix="0" xfId="0"/>
    <xf numFmtId="166"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 Id="rIdMeta1" Type="http://schemas.openxmlformats.org/officeDocument/2006/relationships/sheetMetadata" Target="metadata.xml"/></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Ventas por mes</a:t>
            </a:r>
          </a:p>
        </rich>
      </tx>
    </title>
    <plotArea>
      <barChart>
        <barDir val="col"/>
        <grouping val="clustered"/>
        <ser>
          <idx val="0"/>
          <order val="0"/>
          <spPr>
            <a:ln xmlns:a="http://schemas.openxmlformats.org/drawingml/2006/main">
              <a:prstDash val="solid"/>
            </a:ln>
          </spPr>
          <cat>
            <numRef>
              <f>'Dashboard'!$H$2:$H$13</f>
            </numRef>
          </cat>
          <val>
            <numRef>
              <f>'Dashboard'!$I$2:$I$13</f>
            </numRef>
          </val>
        </ser>
        <gapWidth val="150"/>
        <axId val="10"/>
        <axId val="100"/>
      </barChart>
      <catAx>
        <axId val="10"/>
        <scaling>
          <orientation val="minMax"/>
        </scaling>
        <axPos val="l"/>
        <numFmt formatCode="mmm" sourceLinked="0"/>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Ventas del año por vendedor</a:t>
            </a:r>
          </a:p>
        </rich>
      </tx>
    </title>
    <plotArea>
      <barChart>
        <barDir val="col"/>
        <grouping val="clustered"/>
        <ser>
          <idx val="0"/>
          <order val="0"/>
          <spPr>
            <a:ln xmlns:a="http://schemas.openxmlformats.org/drawingml/2006/main">
              <a:prstDash val="solid"/>
            </a:ln>
          </spPr>
          <cat>
            <numRef>
              <f>'Dashboard'!$K$2:$K$4</f>
            </numRef>
          </cat>
          <val>
            <numRef>
              <f>'Dashboard'!$L$2:$L$4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Ventas por producto (vendedor de B2)</a:t>
            </a:r>
          </a:p>
        </rich>
      </tx>
    </title>
    <plotArea>
      <barChart>
        <barDir val="col"/>
        <grouping val="clustered"/>
        <ser>
          <idx val="0"/>
          <order val="0"/>
          <spPr>
            <a:ln xmlns:a="http://schemas.openxmlformats.org/drawingml/2006/main">
              <a:prstDash val="solid"/>
            </a:ln>
          </spPr>
          <cat>
            <numRef>
              <f>'Dashboard'!$N$2:$N$8</f>
            </numRef>
          </cat>
          <val>
            <numRef>
              <f>'Dashboard'!$O$2:$O$8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3</col>
      <colOff>0</colOff>
      <row>19</row>
      <rowOff>0</rowOff>
    </from>
    <ext cx="576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19</row>
      <rowOff>0</rowOff>
    </from>
    <ext cx="576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17</col>
      <colOff>0</colOff>
      <row>19</row>
      <rowOff>0</rowOff>
    </from>
    <ext cx="5760000" cy="27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ables/table1.xml><?xml version="1.0" encoding="utf-8"?>
<table xmlns="http://schemas.openxmlformats.org/spreadsheetml/2006/main" id="1" name="Pedidos" displayName="Pedidos" ref="A1:K251" headerRowCount="1">
  <autoFilter ref="A1:K251"/>
  <tableColumns count="11">
    <tableColumn id="1" name="Fecha"/>
    <tableColumn id="2" name="Cliente"/>
    <tableColumn id="3" name="Vendedor"/>
    <tableColumn id="4" name="Código"/>
    <tableColumn id="5" name="Cant."/>
    <tableColumn id="6" name="Precio"/>
    <tableColumn id="7" name="Desc."/>
    <tableColumn id="8" name="Neto"/>
    <tableColumn id="9" name="Vence"/>
    <tableColumn id="10" name="Pagado"/>
    <tableColumn id="11" name="Estado"/>
  </tableColumns>
  <tableStyleInfo name="TableStyleMedium7"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outlineLevelCol="0"/>
  <cols>
    <col width="110" customWidth="1" min="1" max="1"/>
  </cols>
  <sheetData>
    <row r="1">
      <c r="A1" s="1" t="inlineStr">
        <is>
          <t>Dashboard en Excel con IA paso a paso: el número que asusta</t>
        </is>
      </c>
    </row>
    <row r="3">
      <c r="A3" t="inlineStr">
        <is>
          <t>Plantilla de Atajos IA (youtube.com/@AtajosIAoficial). Los datos son ficticios: reemplázalos por los tuyos.</t>
        </is>
      </c>
    </row>
    <row r="4">
      <c r="A4" t="inlineStr">
        <is>
          <t>Funciona en Excel para la web (gratis) y en Microsoft 365. Dashboard!B1 tiene =HOY(): el tablero se actualiza solo cada día. Para ver los números del video, escribe 03/11/2026 en Dashboard!B1. Los pedidos son ficticios. Sin macros, sin vínculos externos y sin tablas dinámicas. La hoja Prompts trae todas las fórmulas de la plantilla (verificadas) y, al lado, la respuesta de Claude con su fecha.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51"/>
  <sheetViews>
    <sheetView workbookViewId="0">
      <pane ySplit="1" topLeftCell="A2" activePane="bottomLeft" state="frozen"/>
      <selection pane="bottomLeft" activeCell="A1" sqref="A1"/>
    </sheetView>
  </sheetViews>
  <sheetFormatPr baseColWidth="8" defaultRowHeight="15" outlineLevelCol="0"/>
  <cols>
    <col width="13.75" customWidth="1" min="1" max="1"/>
    <col width="27.5" customWidth="1" min="2" max="2"/>
    <col width="15" customWidth="1" min="3" max="3"/>
    <col width="11.25" customWidth="1" min="4" max="4"/>
    <col width="8.75" customWidth="1" min="5" max="5"/>
    <col width="10" customWidth="1" min="6" max="6"/>
    <col width="8.75" customWidth="1" min="7" max="7"/>
    <col width="13.75" customWidth="1" min="8" max="8"/>
    <col width="13.75" customWidth="1" min="9" max="9"/>
    <col width="10" customWidth="1" min="10" max="10"/>
    <col width="11.25" customWidth="1" min="11" max="11"/>
    <col width="8" customWidth="1" min="12" max="12"/>
    <col width="27.5" customWidth="1" min="13" max="13"/>
  </cols>
  <sheetData>
    <row r="1">
      <c r="A1" s="2" t="inlineStr">
        <is>
          <t>Fecha</t>
        </is>
      </c>
      <c r="B1" s="2" t="inlineStr">
        <is>
          <t>Cliente</t>
        </is>
      </c>
      <c r="C1" s="2" t="inlineStr">
        <is>
          <t>Vendedor</t>
        </is>
      </c>
      <c r="D1" s="2" t="inlineStr">
        <is>
          <t>Código</t>
        </is>
      </c>
      <c r="E1" s="2" t="inlineStr">
        <is>
          <t>Cant.</t>
        </is>
      </c>
      <c r="F1" s="2" t="inlineStr">
        <is>
          <t>Precio</t>
        </is>
      </c>
      <c r="G1" s="2" t="inlineStr">
        <is>
          <t>Desc.</t>
        </is>
      </c>
      <c r="H1" s="2" t="inlineStr">
        <is>
          <t>Neto</t>
        </is>
      </c>
      <c r="I1" s="2" t="inlineStr">
        <is>
          <t>Vence</t>
        </is>
      </c>
      <c r="J1" s="2" t="inlineStr">
        <is>
          <t>Pagado</t>
        </is>
      </c>
      <c r="K1" s="2" t="inlineStr">
        <is>
          <t>Estado</t>
        </is>
      </c>
      <c r="M1" t="inlineStr">
        <is>
          <t>Total de la Tabla (comprobación)</t>
        </is>
      </c>
    </row>
    <row r="2">
      <c r="A2" s="3" t="n">
        <v>46027</v>
      </c>
      <c r="B2" t="inlineStr">
        <is>
          <t>Hotel Mirador</t>
        </is>
      </c>
      <c r="C2" t="inlineStr">
        <is>
          <t>Diego Paz</t>
        </is>
      </c>
      <c r="D2" t="inlineStr">
        <is>
          <t>PAP-220</t>
        </is>
      </c>
      <c r="E2" t="n">
        <v>25</v>
      </c>
      <c r="F2" s="4" t="n">
        <v>3900</v>
      </c>
      <c r="G2" s="5" t="n">
        <v>0.05</v>
      </c>
      <c r="H2" s="4" t="n">
        <v>92625</v>
      </c>
      <c r="I2" s="3" t="n">
        <v>46081</v>
      </c>
      <c r="J2" t="inlineStr">
        <is>
          <t>Sí</t>
        </is>
      </c>
      <c r="K2">
        <f>IF(J2="Sí","Cobrado",IF(I2&lt;Dashboard!$B$1,"Vencido","Al día"))</f>
        <v/>
      </c>
      <c r="M2" s="4">
        <f>SUM(Pedidos[Neto])</f>
        <v/>
      </c>
    </row>
    <row r="3">
      <c r="A3" s="3" t="n">
        <v>46028</v>
      </c>
      <c r="B3" t="inlineStr">
        <is>
          <t>Hotel Mirador</t>
        </is>
      </c>
      <c r="C3" t="inlineStr">
        <is>
          <t>Diego Paz</t>
        </is>
      </c>
      <c r="D3" t="inlineStr">
        <is>
          <t>LIM-030</t>
        </is>
      </c>
      <c r="E3" t="n">
        <v>50</v>
      </c>
      <c r="F3" s="4" t="n">
        <v>1150</v>
      </c>
      <c r="G3" s="5" t="n">
        <v>0.05</v>
      </c>
      <c r="H3" s="4" t="n">
        <v>54625</v>
      </c>
      <c r="I3" s="3" t="n">
        <v>46081</v>
      </c>
      <c r="J3" t="inlineStr">
        <is>
          <t>Sí</t>
        </is>
      </c>
      <c r="K3">
        <f>IF(J3="Sí","Cobrado",IF(I3&lt;Dashboard!$B$1,"Vencido","Al día"))</f>
        <v/>
      </c>
    </row>
    <row r="4">
      <c r="A4" s="3" t="n">
        <v>46029</v>
      </c>
      <c r="B4" t="inlineStr">
        <is>
          <t>Colegio Nuevo Horizonte</t>
        </is>
      </c>
      <c r="C4" t="inlineStr">
        <is>
          <t>Diego Paz</t>
        </is>
      </c>
      <c r="D4" t="inlineStr">
        <is>
          <t>LIM-020</t>
        </is>
      </c>
      <c r="E4" t="n">
        <v>120</v>
      </c>
      <c r="F4" s="4" t="n">
        <v>3100</v>
      </c>
      <c r="G4" s="5" t="n">
        <v>0.1</v>
      </c>
      <c r="H4" s="4" t="n">
        <v>334800</v>
      </c>
      <c r="I4" s="3" t="n">
        <v>46081</v>
      </c>
      <c r="J4" t="inlineStr">
        <is>
          <t>Sí</t>
        </is>
      </c>
      <c r="K4">
        <f>IF(J4="Sí","Cobrado",IF(I4&lt;Dashboard!$B$1,"Vencido","Al día"))</f>
        <v/>
      </c>
    </row>
    <row r="5">
      <c r="A5" s="3" t="n">
        <v>46029</v>
      </c>
      <c r="B5" t="inlineStr">
        <is>
          <t>Kiosco La Esquina</t>
        </is>
      </c>
      <c r="C5" t="inlineStr">
        <is>
          <t>Diego Paz</t>
        </is>
      </c>
      <c r="D5" t="inlineStr">
        <is>
          <t>PAP-220</t>
        </is>
      </c>
      <c r="E5" t="n">
        <v>15</v>
      </c>
      <c r="F5" s="4" t="n">
        <v>3900</v>
      </c>
      <c r="G5" s="5" t="n">
        <v>0.05</v>
      </c>
      <c r="H5" s="4" t="n">
        <v>55575</v>
      </c>
      <c r="I5" s="3" t="n">
        <v>46081</v>
      </c>
      <c r="J5" t="inlineStr">
        <is>
          <t>Sí</t>
        </is>
      </c>
      <c r="K5">
        <f>IF(J5="Sí","Cobrado",IF(I5&lt;Dashboard!$B$1,"Vencido","Al día"))</f>
        <v/>
      </c>
    </row>
    <row r="6">
      <c r="A6" s="3" t="n">
        <v>46030</v>
      </c>
      <c r="B6" t="inlineStr">
        <is>
          <t>Ferretería El Tornillo</t>
        </is>
      </c>
      <c r="C6" t="inlineStr">
        <is>
          <t>Carla Ruiz</t>
        </is>
      </c>
      <c r="D6" t="inlineStr">
        <is>
          <t>LIM-010</t>
        </is>
      </c>
      <c r="E6" t="n">
        <v>80</v>
      </c>
      <c r="F6" s="4" t="n">
        <v>2400</v>
      </c>
      <c r="G6" s="5" t="n">
        <v>0.1</v>
      </c>
      <c r="H6" s="4" t="n">
        <v>172800</v>
      </c>
      <c r="I6" s="3" t="n">
        <v>46081</v>
      </c>
      <c r="J6" t="inlineStr">
        <is>
          <t>Sí</t>
        </is>
      </c>
      <c r="K6">
        <f>IF(J6="Sí","Cobrado",IF(I6&lt;Dashboard!$B$1,"Vencido","Al día"))</f>
        <v/>
      </c>
    </row>
    <row r="7">
      <c r="A7" s="3" t="n">
        <v>46030</v>
      </c>
      <c r="B7" t="inlineStr">
        <is>
          <t>Kiosco La Esquina</t>
        </is>
      </c>
      <c r="C7" t="inlineStr">
        <is>
          <t>Diego Paz</t>
        </is>
      </c>
      <c r="D7" t="inlineStr">
        <is>
          <t>PAP-200</t>
        </is>
      </c>
      <c r="E7" t="n">
        <v>15</v>
      </c>
      <c r="F7" s="4" t="n">
        <v>4500</v>
      </c>
      <c r="G7" s="5" t="n">
        <v>0.05</v>
      </c>
      <c r="H7" s="4" t="n">
        <v>64125</v>
      </c>
      <c r="I7" s="3" t="n">
        <v>46081</v>
      </c>
      <c r="J7" t="inlineStr">
        <is>
          <t>Sí</t>
        </is>
      </c>
      <c r="K7">
        <f>IF(J7="Sí","Cobrado",IF(I7&lt;Dashboard!$B$1,"Vencido","Al día"))</f>
        <v/>
      </c>
    </row>
    <row r="8">
      <c r="A8" s="3" t="n">
        <v>46031</v>
      </c>
      <c r="B8" t="inlineStr">
        <is>
          <t>Librería San Martín Srl</t>
        </is>
      </c>
      <c r="C8" t="inlineStr">
        <is>
          <t>Tomás Gil</t>
        </is>
      </c>
      <c r="D8" t="inlineStr">
        <is>
          <t>LIM-020</t>
        </is>
      </c>
      <c r="E8" t="n">
        <v>60</v>
      </c>
      <c r="F8" s="4" t="n">
        <v>3100</v>
      </c>
      <c r="G8" s="5" t="n">
        <v>0.1</v>
      </c>
      <c r="H8" s="4" t="n">
        <v>167400</v>
      </c>
      <c r="I8" s="3" t="n">
        <v>46081</v>
      </c>
      <c r="J8" t="inlineStr">
        <is>
          <t>Sí</t>
        </is>
      </c>
      <c r="K8">
        <f>IF(J8="Sí","Cobrado",IF(I8&lt;Dashboard!$B$1,"Vencido","Al día"))</f>
        <v/>
      </c>
    </row>
    <row r="9">
      <c r="A9" s="3" t="n">
        <v>46031</v>
      </c>
      <c r="B9" t="inlineStr">
        <is>
          <t>Ferretería El Tornillo</t>
        </is>
      </c>
      <c r="C9" t="inlineStr">
        <is>
          <t>Carla Ruiz</t>
        </is>
      </c>
      <c r="D9" t="inlineStr">
        <is>
          <t>PAP-200</t>
        </is>
      </c>
      <c r="E9" t="n">
        <v>50</v>
      </c>
      <c r="F9" s="4" t="n">
        <v>4500</v>
      </c>
      <c r="G9" s="5" t="n">
        <v>0.1</v>
      </c>
      <c r="H9" s="4" t="n">
        <v>202500</v>
      </c>
      <c r="I9" s="3" t="n">
        <v>46081</v>
      </c>
      <c r="J9" t="inlineStr">
        <is>
          <t>Sí</t>
        </is>
      </c>
      <c r="K9">
        <f>IF(J9="Sí","Cobrado",IF(I9&lt;Dashboard!$B$1,"Vencido","Al día"))</f>
        <v/>
      </c>
    </row>
    <row r="10">
      <c r="A10" s="3" t="n">
        <v>46034</v>
      </c>
      <c r="B10" t="inlineStr">
        <is>
          <t>Kiosco La Esquina</t>
        </is>
      </c>
      <c r="C10" t="inlineStr">
        <is>
          <t>Diego Paz</t>
        </is>
      </c>
      <c r="D10" t="inlineStr">
        <is>
          <t>PAP-210</t>
        </is>
      </c>
      <c r="E10" t="n">
        <v>60</v>
      </c>
      <c r="F10" s="4" t="n">
        <v>6200</v>
      </c>
      <c r="G10" s="5" t="n">
        <v>0.1</v>
      </c>
      <c r="H10" s="4" t="n">
        <v>334800</v>
      </c>
      <c r="I10" s="3" t="n">
        <v>46081</v>
      </c>
      <c r="J10" t="inlineStr">
        <is>
          <t>Sí</t>
        </is>
      </c>
      <c r="K10">
        <f>IF(J10="Sí","Cobrado",IF(I10&lt;Dashboard!$B$1,"Vencido","Al día"))</f>
        <v/>
      </c>
    </row>
    <row r="11">
      <c r="A11" s="3" t="n">
        <v>46035</v>
      </c>
      <c r="B11" t="inlineStr">
        <is>
          <t>Librería San Martín Srl</t>
        </is>
      </c>
      <c r="C11" t="inlineStr">
        <is>
          <t>Carla Ruiz</t>
        </is>
      </c>
      <c r="D11" t="inlineStr">
        <is>
          <t>PAP-200</t>
        </is>
      </c>
      <c r="E11" t="n">
        <v>30</v>
      </c>
      <c r="F11" s="4" t="n">
        <v>4500</v>
      </c>
      <c r="G11" s="5" t="n">
        <v>0.1</v>
      </c>
      <c r="H11" s="4" t="n">
        <v>121500</v>
      </c>
      <c r="I11" s="3" t="n">
        <v>46081</v>
      </c>
      <c r="J11" t="inlineStr">
        <is>
          <t>No</t>
        </is>
      </c>
      <c r="K11">
        <f>IF(J11="Sí","Cobrado",IF(I11&lt;Dashboard!$B$1,"Vencido","Al día"))</f>
        <v/>
      </c>
    </row>
    <row r="12">
      <c r="A12" s="3" t="n">
        <v>46036</v>
      </c>
      <c r="B12" t="inlineStr">
        <is>
          <t>Colegio Nuevo Horizonte</t>
        </is>
      </c>
      <c r="C12" t="inlineStr">
        <is>
          <t>Tomás Gil</t>
        </is>
      </c>
      <c r="D12" t="inlineStr">
        <is>
          <t>PAP-210</t>
        </is>
      </c>
      <c r="E12" t="n">
        <v>60</v>
      </c>
      <c r="F12" s="4" t="n">
        <v>6200</v>
      </c>
      <c r="G12" s="5" t="n">
        <v>0.1</v>
      </c>
      <c r="H12" s="4" t="n">
        <v>334800</v>
      </c>
      <c r="I12" s="3" t="n">
        <v>46081</v>
      </c>
      <c r="J12" t="inlineStr">
        <is>
          <t>Sí</t>
        </is>
      </c>
      <c r="K12">
        <f>IF(J12="Sí","Cobrado",IF(I12&lt;Dashboard!$B$1,"Vencido","Al día"))</f>
        <v/>
      </c>
    </row>
    <row r="13">
      <c r="A13" s="3" t="n">
        <v>46041</v>
      </c>
      <c r="B13" t="inlineStr">
        <is>
          <t>Kiosco La Esquina</t>
        </is>
      </c>
      <c r="C13" t="inlineStr">
        <is>
          <t>Carla Ruiz</t>
        </is>
      </c>
      <c r="D13" t="inlineStr">
        <is>
          <t>PAP-200</t>
        </is>
      </c>
      <c r="E13" t="n">
        <v>100</v>
      </c>
      <c r="F13" s="4" t="n">
        <v>4500</v>
      </c>
      <c r="G13" s="5" t="n">
        <v>0.1</v>
      </c>
      <c r="H13" s="4" t="n">
        <v>405000</v>
      </c>
      <c r="I13" s="3" t="n">
        <v>46081</v>
      </c>
      <c r="J13" t="inlineStr">
        <is>
          <t>Sí</t>
        </is>
      </c>
      <c r="K13">
        <f>IF(J13="Sí","Cobrado",IF(I13&lt;Dashboard!$B$1,"Vencido","Al día"))</f>
        <v/>
      </c>
    </row>
    <row r="14">
      <c r="A14" s="3" t="n">
        <v>46042</v>
      </c>
      <c r="B14" t="inlineStr">
        <is>
          <t>Ferretería El Tornillo</t>
        </is>
      </c>
      <c r="C14" t="inlineStr">
        <is>
          <t>Diego Paz</t>
        </is>
      </c>
      <c r="D14" t="inlineStr">
        <is>
          <t>LIM-040</t>
        </is>
      </c>
      <c r="E14" t="n">
        <v>50</v>
      </c>
      <c r="F14" s="4" t="n">
        <v>9800</v>
      </c>
      <c r="G14" s="5" t="n">
        <v>0.1</v>
      </c>
      <c r="H14" s="4" t="n">
        <v>441000</v>
      </c>
      <c r="I14" s="3" t="n">
        <v>46081</v>
      </c>
      <c r="J14" t="inlineStr">
        <is>
          <t>Sí</t>
        </is>
      </c>
      <c r="K14">
        <f>IF(J14="Sí","Cobrado",IF(I14&lt;Dashboard!$B$1,"Vencido","Al día"))</f>
        <v/>
      </c>
    </row>
    <row r="15">
      <c r="A15" s="3" t="n">
        <v>46043</v>
      </c>
      <c r="B15" t="inlineStr">
        <is>
          <t>Librería San Martín Srl</t>
        </is>
      </c>
      <c r="C15" t="inlineStr">
        <is>
          <t>Diego Paz</t>
        </is>
      </c>
      <c r="D15" t="inlineStr">
        <is>
          <t>LIM-020</t>
        </is>
      </c>
      <c r="E15" t="n">
        <v>120</v>
      </c>
      <c r="F15" s="4" t="n">
        <v>3100</v>
      </c>
      <c r="G15" s="5" t="n">
        <v>0.1</v>
      </c>
      <c r="H15" s="4" t="n">
        <v>334800</v>
      </c>
      <c r="I15" s="3" t="n">
        <v>46081</v>
      </c>
      <c r="J15" t="inlineStr">
        <is>
          <t>Sí</t>
        </is>
      </c>
      <c r="K15">
        <f>IF(J15="Sí","Cobrado",IF(I15&lt;Dashboard!$B$1,"Vencido","Al día"))</f>
        <v/>
      </c>
    </row>
    <row r="16">
      <c r="A16" s="3" t="n">
        <v>46043</v>
      </c>
      <c r="B16" t="inlineStr">
        <is>
          <t>Hotel Mirador</t>
        </is>
      </c>
      <c r="C16" t="inlineStr">
        <is>
          <t>Tomás Gil</t>
        </is>
      </c>
      <c r="D16" t="inlineStr">
        <is>
          <t>LIM-020</t>
        </is>
      </c>
      <c r="E16" t="n">
        <v>40</v>
      </c>
      <c r="F16" s="4" t="n">
        <v>3100</v>
      </c>
      <c r="G16" s="5" t="n">
        <v>0.1</v>
      </c>
      <c r="H16" s="4" t="n">
        <v>111600</v>
      </c>
      <c r="I16" s="3" t="n">
        <v>46081</v>
      </c>
      <c r="J16" t="inlineStr">
        <is>
          <t>Sí</t>
        </is>
      </c>
      <c r="K16">
        <f>IF(J16="Sí","Cobrado",IF(I16&lt;Dashboard!$B$1,"Vencido","Al día"))</f>
        <v/>
      </c>
    </row>
    <row r="17">
      <c r="A17" s="3" t="n">
        <v>46044</v>
      </c>
      <c r="B17" t="inlineStr">
        <is>
          <t>Ferretería El Tornillo</t>
        </is>
      </c>
      <c r="C17" t="inlineStr">
        <is>
          <t>Carla Ruiz</t>
        </is>
      </c>
      <c r="D17" t="inlineStr">
        <is>
          <t>LIM-040</t>
        </is>
      </c>
      <c r="E17" t="n">
        <v>10</v>
      </c>
      <c r="F17" s="4" t="n">
        <v>9800</v>
      </c>
      <c r="G17" s="5" t="n">
        <v>0.05</v>
      </c>
      <c r="H17" s="4" t="n">
        <v>93100</v>
      </c>
      <c r="I17" s="3" t="n">
        <v>46081</v>
      </c>
      <c r="J17" t="inlineStr">
        <is>
          <t>Sí</t>
        </is>
      </c>
      <c r="K17">
        <f>IF(J17="Sí","Cobrado",IF(I17&lt;Dashboard!$B$1,"Vencido","Al día"))</f>
        <v/>
      </c>
    </row>
    <row r="18">
      <c r="A18" s="3" t="n">
        <v>46044</v>
      </c>
      <c r="B18" t="inlineStr">
        <is>
          <t>Hotel Mirador</t>
        </is>
      </c>
      <c r="C18" t="inlineStr">
        <is>
          <t>Carla Ruiz</t>
        </is>
      </c>
      <c r="D18" t="inlineStr">
        <is>
          <t>LIM-010</t>
        </is>
      </c>
      <c r="E18" t="n">
        <v>60</v>
      </c>
      <c r="F18" s="4" t="n">
        <v>2400</v>
      </c>
      <c r="G18" s="5" t="n">
        <v>0.1</v>
      </c>
      <c r="H18" s="4" t="n">
        <v>129600</v>
      </c>
      <c r="I18" s="3" t="n">
        <v>46081</v>
      </c>
      <c r="J18" t="inlineStr">
        <is>
          <t>Sí</t>
        </is>
      </c>
      <c r="K18">
        <f>IF(J18="Sí","Cobrado",IF(I18&lt;Dashboard!$B$1,"Vencido","Al día"))</f>
        <v/>
      </c>
    </row>
    <row r="19">
      <c r="A19" s="3" t="n">
        <v>46045</v>
      </c>
      <c r="B19" t="inlineStr">
        <is>
          <t>Kiosco La Esquina</t>
        </is>
      </c>
      <c r="C19" t="inlineStr">
        <is>
          <t>Diego Paz</t>
        </is>
      </c>
      <c r="D19" t="inlineStr">
        <is>
          <t>PAP-200</t>
        </is>
      </c>
      <c r="E19" t="n">
        <v>15</v>
      </c>
      <c r="F19" s="4" t="n">
        <v>4500</v>
      </c>
      <c r="G19" s="5" t="n">
        <v>0.05</v>
      </c>
      <c r="H19" s="4" t="n">
        <v>64125</v>
      </c>
      <c r="I19" s="3" t="n">
        <v>46081</v>
      </c>
      <c r="J19" t="inlineStr">
        <is>
          <t>Sí</t>
        </is>
      </c>
      <c r="K19">
        <f>IF(J19="Sí","Cobrado",IF(I19&lt;Dashboard!$B$1,"Vencido","Al día"))</f>
        <v/>
      </c>
    </row>
    <row r="20">
      <c r="A20" s="3" t="n">
        <v>46048</v>
      </c>
      <c r="B20" t="inlineStr">
        <is>
          <t>Hotel Mirador</t>
        </is>
      </c>
      <c r="C20" t="inlineStr">
        <is>
          <t>Tomás Gil</t>
        </is>
      </c>
      <c r="D20" t="inlineStr">
        <is>
          <t>PAP-220</t>
        </is>
      </c>
      <c r="E20" t="n">
        <v>120</v>
      </c>
      <c r="F20" s="4" t="n">
        <v>3900</v>
      </c>
      <c r="G20" s="5" t="n">
        <v>0.1</v>
      </c>
      <c r="H20" s="4" t="n">
        <v>421200</v>
      </c>
      <c r="I20" s="3" t="n">
        <v>46081</v>
      </c>
      <c r="J20" t="inlineStr">
        <is>
          <t>Sí</t>
        </is>
      </c>
      <c r="K20">
        <f>IF(J20="Sí","Cobrado",IF(I20&lt;Dashboard!$B$1,"Vencido","Al día"))</f>
        <v/>
      </c>
    </row>
    <row r="21">
      <c r="A21" s="3" t="n">
        <v>46049</v>
      </c>
      <c r="B21" t="inlineStr">
        <is>
          <t>Librería San Martín Srl</t>
        </is>
      </c>
      <c r="C21" t="inlineStr">
        <is>
          <t>Tomás Gil</t>
        </is>
      </c>
      <c r="D21" t="inlineStr">
        <is>
          <t>PAP-200</t>
        </is>
      </c>
      <c r="E21" t="n">
        <v>80</v>
      </c>
      <c r="F21" s="4" t="n">
        <v>4500</v>
      </c>
      <c r="G21" s="5" t="n">
        <v>0.1</v>
      </c>
      <c r="H21" s="4" t="n">
        <v>324000</v>
      </c>
      <c r="I21" s="3" t="n">
        <v>46081</v>
      </c>
      <c r="J21" t="inlineStr">
        <is>
          <t>Sí</t>
        </is>
      </c>
      <c r="K21">
        <f>IF(J21="Sí","Cobrado",IF(I21&lt;Dashboard!$B$1,"Vencido","Al día"))</f>
        <v/>
      </c>
    </row>
    <row r="22">
      <c r="A22" s="3" t="n">
        <v>46050</v>
      </c>
      <c r="B22" t="inlineStr">
        <is>
          <t>Ferretería El Tornillo</t>
        </is>
      </c>
      <c r="C22" t="inlineStr">
        <is>
          <t>Tomás Gil</t>
        </is>
      </c>
      <c r="D22" t="inlineStr">
        <is>
          <t>PAP-220</t>
        </is>
      </c>
      <c r="E22" t="n">
        <v>100</v>
      </c>
      <c r="F22" s="4" t="n">
        <v>3900</v>
      </c>
      <c r="G22" s="5" t="n">
        <v>0.1</v>
      </c>
      <c r="H22" s="4" t="n">
        <v>351000</v>
      </c>
      <c r="I22" s="3" t="n">
        <v>46081</v>
      </c>
      <c r="J22" t="inlineStr">
        <is>
          <t>Sí</t>
        </is>
      </c>
      <c r="K22">
        <f>IF(J22="Sí","Cobrado",IF(I22&lt;Dashboard!$B$1,"Vencido","Al día"))</f>
        <v/>
      </c>
    </row>
    <row r="23">
      <c r="A23" s="3" t="n">
        <v>46050</v>
      </c>
      <c r="B23" t="inlineStr">
        <is>
          <t>Kiosco La Esquina</t>
        </is>
      </c>
      <c r="C23" t="inlineStr">
        <is>
          <t>Tomás Gil</t>
        </is>
      </c>
      <c r="D23" t="inlineStr">
        <is>
          <t>LIM-020</t>
        </is>
      </c>
      <c r="E23" t="n">
        <v>30</v>
      </c>
      <c r="F23" s="4" t="n">
        <v>3100</v>
      </c>
      <c r="G23" s="5" t="n">
        <v>0.05</v>
      </c>
      <c r="H23" s="4" t="n">
        <v>88350</v>
      </c>
      <c r="I23" s="3" t="n">
        <v>46081</v>
      </c>
      <c r="J23" t="inlineStr">
        <is>
          <t>Sí</t>
        </is>
      </c>
      <c r="K23">
        <f>IF(J23="Sí","Cobrado",IF(I23&lt;Dashboard!$B$1,"Vencido","Al día"))</f>
        <v/>
      </c>
    </row>
    <row r="24">
      <c r="A24" s="3" t="n">
        <v>46051</v>
      </c>
      <c r="B24" t="inlineStr">
        <is>
          <t>Kiosco La Esquina</t>
        </is>
      </c>
      <c r="C24" t="inlineStr">
        <is>
          <t>Diego Paz</t>
        </is>
      </c>
      <c r="D24" t="inlineStr">
        <is>
          <t>LIM-010</t>
        </is>
      </c>
      <c r="E24" t="n">
        <v>80</v>
      </c>
      <c r="F24" s="4" t="n">
        <v>2400</v>
      </c>
      <c r="G24" s="5" t="n">
        <v>0.1</v>
      </c>
      <c r="H24" s="4" t="n">
        <v>172800</v>
      </c>
      <c r="I24" s="3" t="n">
        <v>46081</v>
      </c>
      <c r="J24" t="inlineStr">
        <is>
          <t>Sí</t>
        </is>
      </c>
      <c r="K24">
        <f>IF(J24="Sí","Cobrado",IF(I24&lt;Dashboard!$B$1,"Vencido","Al día"))</f>
        <v/>
      </c>
    </row>
    <row r="25">
      <c r="A25" s="3" t="n">
        <v>46052</v>
      </c>
      <c r="B25" t="inlineStr">
        <is>
          <t>Ferretería El Tornillo</t>
        </is>
      </c>
      <c r="C25" t="inlineStr">
        <is>
          <t>Carla Ruiz</t>
        </is>
      </c>
      <c r="D25" t="inlineStr">
        <is>
          <t>LIM-010</t>
        </is>
      </c>
      <c r="E25" t="n">
        <v>60</v>
      </c>
      <c r="F25" s="4" t="n">
        <v>2400</v>
      </c>
      <c r="G25" s="5" t="n">
        <v>0.1</v>
      </c>
      <c r="H25" s="4" t="n">
        <v>129600</v>
      </c>
      <c r="I25" s="3" t="n">
        <v>46081</v>
      </c>
      <c r="J25" t="inlineStr">
        <is>
          <t>Sí</t>
        </is>
      </c>
      <c r="K25">
        <f>IF(J25="Sí","Cobrado",IF(I25&lt;Dashboard!$B$1,"Vencido","Al día"))</f>
        <v/>
      </c>
    </row>
    <row r="26">
      <c r="A26" s="3" t="n">
        <v>46055</v>
      </c>
      <c r="B26" t="inlineStr">
        <is>
          <t>Kiosco La Esquina</t>
        </is>
      </c>
      <c r="C26" t="inlineStr">
        <is>
          <t>Carla Ruiz</t>
        </is>
      </c>
      <c r="D26" t="inlineStr">
        <is>
          <t>LIM-040</t>
        </is>
      </c>
      <c r="E26" t="n">
        <v>15</v>
      </c>
      <c r="F26" s="4" t="n">
        <v>9800</v>
      </c>
      <c r="G26" s="5" t="n">
        <v>0.1</v>
      </c>
      <c r="H26" s="4" t="n">
        <v>132300</v>
      </c>
      <c r="I26" s="3" t="n">
        <v>46112</v>
      </c>
      <c r="J26" t="inlineStr">
        <is>
          <t>Sí</t>
        </is>
      </c>
      <c r="K26">
        <f>IF(J26="Sí","Cobrado",IF(I26&lt;Dashboard!$B$1,"Vencido","Al día"))</f>
        <v/>
      </c>
    </row>
    <row r="27">
      <c r="A27" s="3" t="n">
        <v>46056</v>
      </c>
      <c r="B27" t="inlineStr">
        <is>
          <t>Hotel Mirador</t>
        </is>
      </c>
      <c r="C27" t="inlineStr">
        <is>
          <t>Carla Ruiz</t>
        </is>
      </c>
      <c r="D27" t="inlineStr">
        <is>
          <t>LIM-010</t>
        </is>
      </c>
      <c r="E27" t="n">
        <v>40</v>
      </c>
      <c r="F27" s="4" t="n">
        <v>2400</v>
      </c>
      <c r="G27" s="5" t="n">
        <v>0.05</v>
      </c>
      <c r="H27" s="4" t="n">
        <v>91200</v>
      </c>
      <c r="I27" s="3" t="n">
        <v>46112</v>
      </c>
      <c r="J27" t="inlineStr">
        <is>
          <t>Sí</t>
        </is>
      </c>
      <c r="K27">
        <f>IF(J27="Sí","Cobrado",IF(I27&lt;Dashboard!$B$1,"Vencido","Al día"))</f>
        <v/>
      </c>
    </row>
    <row r="28">
      <c r="A28" s="3" t="n">
        <v>46056</v>
      </c>
      <c r="B28" t="inlineStr">
        <is>
          <t>Librería San Martín Srl</t>
        </is>
      </c>
      <c r="C28" t="inlineStr">
        <is>
          <t>Diego Paz</t>
        </is>
      </c>
      <c r="D28" t="inlineStr">
        <is>
          <t>PAP-210</t>
        </is>
      </c>
      <c r="E28" t="n">
        <v>120</v>
      </c>
      <c r="F28" s="4" t="n">
        <v>6200</v>
      </c>
      <c r="G28" s="5" t="n">
        <v>0.1</v>
      </c>
      <c r="H28" s="4" t="n">
        <v>669600</v>
      </c>
      <c r="I28" s="3" t="n">
        <v>46112</v>
      </c>
      <c r="J28" t="inlineStr">
        <is>
          <t>Sí</t>
        </is>
      </c>
      <c r="K28">
        <f>IF(J28="Sí","Cobrado",IF(I28&lt;Dashboard!$B$1,"Vencido","Al día"))</f>
        <v/>
      </c>
    </row>
    <row r="29">
      <c r="A29" s="3" t="n">
        <v>46058</v>
      </c>
      <c r="B29" t="inlineStr">
        <is>
          <t>Hotel Mirador</t>
        </is>
      </c>
      <c r="C29" t="inlineStr">
        <is>
          <t>Diego Paz</t>
        </is>
      </c>
      <c r="D29" t="inlineStr">
        <is>
          <t>PAP-200</t>
        </is>
      </c>
      <c r="E29" t="n">
        <v>40</v>
      </c>
      <c r="F29" s="4" t="n">
        <v>4500</v>
      </c>
      <c r="G29" s="5" t="n">
        <v>0.1</v>
      </c>
      <c r="H29" s="4" t="n">
        <v>162000</v>
      </c>
      <c r="I29" s="3" t="n">
        <v>46112</v>
      </c>
      <c r="J29" t="inlineStr">
        <is>
          <t>Sí</t>
        </is>
      </c>
      <c r="K29">
        <f>IF(J29="Sí","Cobrado",IF(I29&lt;Dashboard!$B$1,"Vencido","Al día"))</f>
        <v/>
      </c>
    </row>
    <row r="30">
      <c r="A30" s="3" t="n">
        <v>46058</v>
      </c>
      <c r="B30" t="inlineStr">
        <is>
          <t>Hotel Mirador</t>
        </is>
      </c>
      <c r="C30" t="inlineStr">
        <is>
          <t>Carla Ruiz</t>
        </is>
      </c>
      <c r="D30" t="inlineStr">
        <is>
          <t>LIM-040</t>
        </is>
      </c>
      <c r="E30" t="n">
        <v>30</v>
      </c>
      <c r="F30" s="4" t="n">
        <v>9800</v>
      </c>
      <c r="G30" s="5" t="n">
        <v>0.1</v>
      </c>
      <c r="H30" s="4" t="n">
        <v>264600</v>
      </c>
      <c r="I30" s="3" t="n">
        <v>46112</v>
      </c>
      <c r="J30" t="inlineStr">
        <is>
          <t>Sí</t>
        </is>
      </c>
      <c r="K30">
        <f>IF(J30="Sí","Cobrado",IF(I30&lt;Dashboard!$B$1,"Vencido","Al día"))</f>
        <v/>
      </c>
    </row>
    <row r="31">
      <c r="A31" s="3" t="n">
        <v>46059</v>
      </c>
      <c r="B31" t="inlineStr">
        <is>
          <t>Colegio Nuevo Horizonte</t>
        </is>
      </c>
      <c r="C31" t="inlineStr">
        <is>
          <t>Carla Ruiz</t>
        </is>
      </c>
      <c r="D31" t="inlineStr">
        <is>
          <t>LIM-010</t>
        </is>
      </c>
      <c r="E31" t="n">
        <v>10</v>
      </c>
      <c r="F31" s="4" t="n">
        <v>2400</v>
      </c>
      <c r="G31" s="5" t="n">
        <v>0</v>
      </c>
      <c r="H31" s="4" t="n">
        <v>24000</v>
      </c>
      <c r="I31" s="3" t="n">
        <v>46112</v>
      </c>
      <c r="J31" t="inlineStr">
        <is>
          <t>Sí</t>
        </is>
      </c>
      <c r="K31">
        <f>IF(J31="Sí","Cobrado",IF(I31&lt;Dashboard!$B$1,"Vencido","Al día"))</f>
        <v/>
      </c>
    </row>
    <row r="32">
      <c r="A32" s="3" t="n">
        <v>46062</v>
      </c>
      <c r="B32" t="inlineStr">
        <is>
          <t>Colegio Nuevo Horizonte</t>
        </is>
      </c>
      <c r="C32" t="inlineStr">
        <is>
          <t>Tomás Gil</t>
        </is>
      </c>
      <c r="D32" t="inlineStr">
        <is>
          <t>LIM-030</t>
        </is>
      </c>
      <c r="E32" t="n">
        <v>30</v>
      </c>
      <c r="F32" s="4" t="n">
        <v>1150</v>
      </c>
      <c r="G32" s="5" t="n">
        <v>0</v>
      </c>
      <c r="H32" s="4" t="n">
        <v>34500</v>
      </c>
      <c r="I32" s="3" t="n">
        <v>46112</v>
      </c>
      <c r="J32" t="inlineStr">
        <is>
          <t>Sí</t>
        </is>
      </c>
      <c r="K32">
        <f>IF(J32="Sí","Cobrado",IF(I32&lt;Dashboard!$B$1,"Vencido","Al día"))</f>
        <v/>
      </c>
    </row>
    <row r="33">
      <c r="A33" s="3" t="n">
        <v>46062</v>
      </c>
      <c r="B33" t="inlineStr">
        <is>
          <t>Ferretería El Tornillo</t>
        </is>
      </c>
      <c r="C33" t="inlineStr">
        <is>
          <t>Carla Ruiz</t>
        </is>
      </c>
      <c r="D33" t="inlineStr">
        <is>
          <t>PAP-220</t>
        </is>
      </c>
      <c r="E33" t="n">
        <v>100</v>
      </c>
      <c r="F33" s="4" t="n">
        <v>3900</v>
      </c>
      <c r="G33" s="5" t="n">
        <v>0.1</v>
      </c>
      <c r="H33" s="4" t="n">
        <v>351000</v>
      </c>
      <c r="I33" s="3" t="n">
        <v>46112</v>
      </c>
      <c r="J33" t="inlineStr">
        <is>
          <t>Sí</t>
        </is>
      </c>
      <c r="K33">
        <f>IF(J33="Sí","Cobrado",IF(I33&lt;Dashboard!$B$1,"Vencido","Al día"))</f>
        <v/>
      </c>
    </row>
    <row r="34">
      <c r="A34" s="3" t="n">
        <v>46065</v>
      </c>
      <c r="B34" t="inlineStr">
        <is>
          <t>Colegio Nuevo Horizonte</t>
        </is>
      </c>
      <c r="C34" t="inlineStr">
        <is>
          <t>Carla Ruiz</t>
        </is>
      </c>
      <c r="D34" t="inlineStr">
        <is>
          <t>LIM-040</t>
        </is>
      </c>
      <c r="E34" t="n">
        <v>15</v>
      </c>
      <c r="F34" s="4" t="n">
        <v>9800</v>
      </c>
      <c r="G34" s="5" t="n">
        <v>0.1</v>
      </c>
      <c r="H34" s="4" t="n">
        <v>132300</v>
      </c>
      <c r="I34" s="3" t="n">
        <v>46112</v>
      </c>
      <c r="J34" t="inlineStr">
        <is>
          <t>Sí</t>
        </is>
      </c>
      <c r="K34">
        <f>IF(J34="Sí","Cobrado",IF(I34&lt;Dashboard!$B$1,"Vencido","Al día"))</f>
        <v/>
      </c>
    </row>
    <row r="35">
      <c r="A35" s="3" t="n">
        <v>46069</v>
      </c>
      <c r="B35" t="inlineStr">
        <is>
          <t>Colegio Nuevo Horizonte</t>
        </is>
      </c>
      <c r="C35" t="inlineStr">
        <is>
          <t>Tomás Gil</t>
        </is>
      </c>
      <c r="D35" t="inlineStr">
        <is>
          <t>LIM-040</t>
        </is>
      </c>
      <c r="E35" t="n">
        <v>25</v>
      </c>
      <c r="F35" s="4" t="n">
        <v>9800</v>
      </c>
      <c r="G35" s="5" t="n">
        <v>0.1</v>
      </c>
      <c r="H35" s="4" t="n">
        <v>220500</v>
      </c>
      <c r="I35" s="3" t="n">
        <v>46112</v>
      </c>
      <c r="J35" t="inlineStr">
        <is>
          <t>Sí</t>
        </is>
      </c>
      <c r="K35">
        <f>IF(J35="Sí","Cobrado",IF(I35&lt;Dashboard!$B$1,"Vencido","Al día"))</f>
        <v/>
      </c>
    </row>
    <row r="36">
      <c r="A36" s="3" t="n">
        <v>46069</v>
      </c>
      <c r="B36" t="inlineStr">
        <is>
          <t>Kiosco La Esquina</t>
        </is>
      </c>
      <c r="C36" t="inlineStr">
        <is>
          <t>Tomás Gil</t>
        </is>
      </c>
      <c r="D36" t="inlineStr">
        <is>
          <t>PAP-210</t>
        </is>
      </c>
      <c r="E36" t="n">
        <v>20</v>
      </c>
      <c r="F36" s="4" t="n">
        <v>6200</v>
      </c>
      <c r="G36" s="5" t="n">
        <v>0.1</v>
      </c>
      <c r="H36" s="4" t="n">
        <v>111600</v>
      </c>
      <c r="I36" s="3" t="n">
        <v>46112</v>
      </c>
      <c r="J36" t="inlineStr">
        <is>
          <t>Sí</t>
        </is>
      </c>
      <c r="K36">
        <f>IF(J36="Sí","Cobrado",IF(I36&lt;Dashboard!$B$1,"Vencido","Al día"))</f>
        <v/>
      </c>
    </row>
    <row r="37">
      <c r="A37" s="3" t="n">
        <v>46070</v>
      </c>
      <c r="B37" t="inlineStr">
        <is>
          <t>Kiosco La Esquina</t>
        </is>
      </c>
      <c r="C37" t="inlineStr">
        <is>
          <t>Tomás Gil</t>
        </is>
      </c>
      <c r="D37" t="inlineStr">
        <is>
          <t>PAP-220</t>
        </is>
      </c>
      <c r="E37" t="n">
        <v>12</v>
      </c>
      <c r="F37" s="4" t="n">
        <v>3900</v>
      </c>
      <c r="G37" s="5" t="n">
        <v>0.05</v>
      </c>
      <c r="H37" s="4" t="n">
        <v>44460</v>
      </c>
      <c r="I37" s="3" t="n">
        <v>46112</v>
      </c>
      <c r="J37" t="inlineStr">
        <is>
          <t>Sí</t>
        </is>
      </c>
      <c r="K37">
        <f>IF(J37="Sí","Cobrado",IF(I37&lt;Dashboard!$B$1,"Vencido","Al día"))</f>
        <v/>
      </c>
    </row>
    <row r="38">
      <c r="A38" s="3" t="n">
        <v>46070</v>
      </c>
      <c r="B38" t="inlineStr">
        <is>
          <t>Hotel Mirador</t>
        </is>
      </c>
      <c r="C38" t="inlineStr">
        <is>
          <t>Carla Ruiz</t>
        </is>
      </c>
      <c r="D38" t="inlineStr">
        <is>
          <t>PAP-220</t>
        </is>
      </c>
      <c r="E38" t="n">
        <v>20</v>
      </c>
      <c r="F38" s="4" t="n">
        <v>3900</v>
      </c>
      <c r="G38" s="5" t="n">
        <v>0.05</v>
      </c>
      <c r="H38" s="4" t="n">
        <v>74100</v>
      </c>
      <c r="I38" s="3" t="n">
        <v>46112</v>
      </c>
      <c r="J38" t="inlineStr">
        <is>
          <t>Sí</t>
        </is>
      </c>
      <c r="K38">
        <f>IF(J38="Sí","Cobrado",IF(I38&lt;Dashboard!$B$1,"Vencido","Al día"))</f>
        <v/>
      </c>
    </row>
    <row r="39">
      <c r="A39" s="3" t="n">
        <v>46071</v>
      </c>
      <c r="B39" t="inlineStr">
        <is>
          <t>Kiosco La Esquina</t>
        </is>
      </c>
      <c r="C39" t="inlineStr">
        <is>
          <t>Diego Paz</t>
        </is>
      </c>
      <c r="D39" t="inlineStr">
        <is>
          <t>LIM-040</t>
        </is>
      </c>
      <c r="E39" t="n">
        <v>60</v>
      </c>
      <c r="F39" s="4" t="n">
        <v>9800</v>
      </c>
      <c r="G39" s="5" t="n">
        <v>0.1</v>
      </c>
      <c r="H39" s="4" t="n">
        <v>529200</v>
      </c>
      <c r="I39" s="3" t="n">
        <v>46112</v>
      </c>
      <c r="J39" t="inlineStr">
        <is>
          <t>Sí</t>
        </is>
      </c>
      <c r="K39">
        <f>IF(J39="Sí","Cobrado",IF(I39&lt;Dashboard!$B$1,"Vencido","Al día"))</f>
        <v/>
      </c>
    </row>
    <row r="40">
      <c r="A40" s="3" t="n">
        <v>46072</v>
      </c>
      <c r="B40" t="inlineStr">
        <is>
          <t>Hotel Mirador</t>
        </is>
      </c>
      <c r="C40" t="inlineStr">
        <is>
          <t>Tomás Gil</t>
        </is>
      </c>
      <c r="D40" t="inlineStr">
        <is>
          <t>LIM-010</t>
        </is>
      </c>
      <c r="E40" t="n">
        <v>25</v>
      </c>
      <c r="F40" s="4" t="n">
        <v>2400</v>
      </c>
      <c r="G40" s="5" t="n">
        <v>0.05</v>
      </c>
      <c r="H40" s="4" t="n">
        <v>57000</v>
      </c>
      <c r="I40" s="3" t="n">
        <v>46112</v>
      </c>
      <c r="J40" t="inlineStr">
        <is>
          <t>Sí</t>
        </is>
      </c>
      <c r="K40">
        <f>IF(J40="Sí","Cobrado",IF(I40&lt;Dashboard!$B$1,"Vencido","Al día"))</f>
        <v/>
      </c>
    </row>
    <row r="41">
      <c r="A41" s="3" t="n">
        <v>46076</v>
      </c>
      <c r="B41" t="inlineStr">
        <is>
          <t>Colegio Nuevo Horizonte</t>
        </is>
      </c>
      <c r="C41" t="inlineStr">
        <is>
          <t>Diego Paz</t>
        </is>
      </c>
      <c r="D41" t="inlineStr">
        <is>
          <t>LIM-040</t>
        </is>
      </c>
      <c r="E41" t="n">
        <v>60</v>
      </c>
      <c r="F41" s="4" t="n">
        <v>9800</v>
      </c>
      <c r="G41" s="5" t="n">
        <v>0.1</v>
      </c>
      <c r="H41" s="4" t="n">
        <v>529200</v>
      </c>
      <c r="I41" s="3" t="n">
        <v>46112</v>
      </c>
      <c r="J41" t="inlineStr">
        <is>
          <t>Sí</t>
        </is>
      </c>
      <c r="K41">
        <f>IF(J41="Sí","Cobrado",IF(I41&lt;Dashboard!$B$1,"Vencido","Al día"))</f>
        <v/>
      </c>
    </row>
    <row r="42">
      <c r="A42" s="3" t="n">
        <v>46077</v>
      </c>
      <c r="B42" t="inlineStr">
        <is>
          <t>Kiosco La Esquina</t>
        </is>
      </c>
      <c r="C42" t="inlineStr">
        <is>
          <t>Diego Paz</t>
        </is>
      </c>
      <c r="D42" t="inlineStr">
        <is>
          <t>LIM-010</t>
        </is>
      </c>
      <c r="E42" t="n">
        <v>20</v>
      </c>
      <c r="F42" s="4" t="n">
        <v>2400</v>
      </c>
      <c r="G42" s="5" t="n">
        <v>0.05</v>
      </c>
      <c r="H42" s="4" t="n">
        <v>45600</v>
      </c>
      <c r="I42" s="3" t="n">
        <v>46112</v>
      </c>
      <c r="J42" t="inlineStr">
        <is>
          <t>Sí</t>
        </is>
      </c>
      <c r="K42">
        <f>IF(J42="Sí","Cobrado",IF(I42&lt;Dashboard!$B$1,"Vencido","Al día"))</f>
        <v/>
      </c>
    </row>
    <row r="43">
      <c r="A43" s="3" t="n">
        <v>46078</v>
      </c>
      <c r="B43" t="inlineStr">
        <is>
          <t>Librería San Martín Srl</t>
        </is>
      </c>
      <c r="C43" t="inlineStr">
        <is>
          <t>Diego Paz</t>
        </is>
      </c>
      <c r="D43" t="inlineStr">
        <is>
          <t>LIM-040</t>
        </is>
      </c>
      <c r="E43" t="n">
        <v>100</v>
      </c>
      <c r="F43" s="4" t="n">
        <v>9800</v>
      </c>
      <c r="G43" s="5" t="n">
        <v>0.1</v>
      </c>
      <c r="H43" s="4" t="n">
        <v>882000</v>
      </c>
      <c r="I43" s="3" t="n">
        <v>46112</v>
      </c>
      <c r="J43" t="inlineStr">
        <is>
          <t>Sí</t>
        </is>
      </c>
      <c r="K43">
        <f>IF(J43="Sí","Cobrado",IF(I43&lt;Dashboard!$B$1,"Vencido","Al día"))</f>
        <v/>
      </c>
    </row>
    <row r="44">
      <c r="A44" s="3" t="n">
        <v>46079</v>
      </c>
      <c r="B44" t="inlineStr">
        <is>
          <t>Librería San Martín Srl</t>
        </is>
      </c>
      <c r="C44" t="inlineStr">
        <is>
          <t>Tomás Gil</t>
        </is>
      </c>
      <c r="D44" t="inlineStr">
        <is>
          <t>PAP-220</t>
        </is>
      </c>
      <c r="E44" t="n">
        <v>80</v>
      </c>
      <c r="F44" s="4" t="n">
        <v>3900</v>
      </c>
      <c r="G44" s="5" t="n">
        <v>0.1</v>
      </c>
      <c r="H44" s="4" t="n">
        <v>280800</v>
      </c>
      <c r="I44" s="3" t="n">
        <v>46112</v>
      </c>
      <c r="J44" t="inlineStr">
        <is>
          <t>Sí</t>
        </is>
      </c>
      <c r="K44">
        <f>IF(J44="Sí","Cobrado",IF(I44&lt;Dashboard!$B$1,"Vencido","Al día"))</f>
        <v/>
      </c>
    </row>
    <row r="45">
      <c r="A45" s="3" t="n">
        <v>46080</v>
      </c>
      <c r="B45" t="inlineStr">
        <is>
          <t>Ferretería El Tornillo</t>
        </is>
      </c>
      <c r="C45" t="inlineStr">
        <is>
          <t>Carla Ruiz</t>
        </is>
      </c>
      <c r="D45" t="inlineStr">
        <is>
          <t>LIM-030</t>
        </is>
      </c>
      <c r="E45" t="n">
        <v>120</v>
      </c>
      <c r="F45" s="4" t="n">
        <v>1150</v>
      </c>
      <c r="G45" s="5" t="n">
        <v>0.1</v>
      </c>
      <c r="H45" s="4" t="n">
        <v>124200</v>
      </c>
      <c r="I45" s="3" t="n">
        <v>46112</v>
      </c>
      <c r="J45" t="inlineStr">
        <is>
          <t>Sí</t>
        </is>
      </c>
      <c r="K45">
        <f>IF(J45="Sí","Cobrado",IF(I45&lt;Dashboard!$B$1,"Vencido","Al día"))</f>
        <v/>
      </c>
    </row>
    <row r="46">
      <c r="A46" s="3" t="n">
        <v>46080</v>
      </c>
      <c r="B46" t="inlineStr">
        <is>
          <t>Kiosco La Esquina</t>
        </is>
      </c>
      <c r="C46" t="inlineStr">
        <is>
          <t>Tomás Gil</t>
        </is>
      </c>
      <c r="D46" t="inlineStr">
        <is>
          <t>PAP-200</t>
        </is>
      </c>
      <c r="E46" t="n">
        <v>80</v>
      </c>
      <c r="F46" s="4" t="n">
        <v>4500</v>
      </c>
      <c r="G46" s="5" t="n">
        <v>0.1</v>
      </c>
      <c r="H46" s="4" t="n">
        <v>324000</v>
      </c>
      <c r="I46" s="3" t="n">
        <v>46112</v>
      </c>
      <c r="J46" t="inlineStr">
        <is>
          <t>Sí</t>
        </is>
      </c>
      <c r="K46">
        <f>IF(J46="Sí","Cobrado",IF(I46&lt;Dashboard!$B$1,"Vencido","Al día"))</f>
        <v/>
      </c>
    </row>
    <row r="47">
      <c r="A47" s="3" t="n">
        <v>46083</v>
      </c>
      <c r="B47" t="inlineStr">
        <is>
          <t>Colegio Nuevo Horizonte</t>
        </is>
      </c>
      <c r="C47" t="inlineStr">
        <is>
          <t>Carla Ruiz</t>
        </is>
      </c>
      <c r="D47" t="inlineStr">
        <is>
          <t>PAP-220</t>
        </is>
      </c>
      <c r="E47" t="n">
        <v>25</v>
      </c>
      <c r="F47" s="4" t="n">
        <v>3900</v>
      </c>
      <c r="G47" s="5" t="n">
        <v>0.05</v>
      </c>
      <c r="H47" s="4" t="n">
        <v>92625</v>
      </c>
      <c r="I47" s="3" t="n">
        <v>46142</v>
      </c>
      <c r="J47" t="inlineStr">
        <is>
          <t>Sí</t>
        </is>
      </c>
      <c r="K47">
        <f>IF(J47="Sí","Cobrado",IF(I47&lt;Dashboard!$B$1,"Vencido","Al día"))</f>
        <v/>
      </c>
    </row>
    <row r="48">
      <c r="A48" s="3" t="n">
        <v>46083</v>
      </c>
      <c r="B48" t="inlineStr">
        <is>
          <t>Librería San Martín Srl</t>
        </is>
      </c>
      <c r="C48" t="inlineStr">
        <is>
          <t>Carla Ruiz</t>
        </is>
      </c>
      <c r="D48" t="inlineStr">
        <is>
          <t>PAP-200</t>
        </is>
      </c>
      <c r="E48" t="n">
        <v>10</v>
      </c>
      <c r="F48" s="4" t="n">
        <v>4500</v>
      </c>
      <c r="G48" s="5" t="n">
        <v>0.05</v>
      </c>
      <c r="H48" s="4" t="n">
        <v>42750</v>
      </c>
      <c r="I48" s="3" t="n">
        <v>46142</v>
      </c>
      <c r="J48" t="inlineStr">
        <is>
          <t>Sí</t>
        </is>
      </c>
      <c r="K48">
        <f>IF(J48="Sí","Cobrado",IF(I48&lt;Dashboard!$B$1,"Vencido","Al día"))</f>
        <v/>
      </c>
    </row>
    <row r="49">
      <c r="A49" s="3" t="n">
        <v>46085</v>
      </c>
      <c r="B49" t="inlineStr">
        <is>
          <t>Colegio Nuevo Horizonte</t>
        </is>
      </c>
      <c r="C49" t="inlineStr">
        <is>
          <t>Tomás Gil</t>
        </is>
      </c>
      <c r="D49" t="inlineStr">
        <is>
          <t>LIM-040</t>
        </is>
      </c>
      <c r="E49" t="n">
        <v>12</v>
      </c>
      <c r="F49" s="4" t="n">
        <v>9800</v>
      </c>
      <c r="G49" s="5" t="n">
        <v>0.1</v>
      </c>
      <c r="H49" s="4" t="n">
        <v>105840</v>
      </c>
      <c r="I49" s="3" t="n">
        <v>46142</v>
      </c>
      <c r="J49" t="inlineStr">
        <is>
          <t>Sí</t>
        </is>
      </c>
      <c r="K49">
        <f>IF(J49="Sí","Cobrado",IF(I49&lt;Dashboard!$B$1,"Vencido","Al día"))</f>
        <v/>
      </c>
    </row>
    <row r="50">
      <c r="A50" s="3" t="n">
        <v>46086</v>
      </c>
      <c r="B50" t="inlineStr">
        <is>
          <t>Colegio Nuevo Horizonte</t>
        </is>
      </c>
      <c r="C50" t="inlineStr">
        <is>
          <t>Tomás Gil</t>
        </is>
      </c>
      <c r="D50" t="inlineStr">
        <is>
          <t>PAP-210</t>
        </is>
      </c>
      <c r="E50" t="n">
        <v>10</v>
      </c>
      <c r="F50" s="4" t="n">
        <v>6200</v>
      </c>
      <c r="G50" s="5" t="n">
        <v>0.05</v>
      </c>
      <c r="H50" s="4" t="n">
        <v>58900</v>
      </c>
      <c r="I50" s="3" t="n">
        <v>46142</v>
      </c>
      <c r="J50" t="inlineStr">
        <is>
          <t>Sí</t>
        </is>
      </c>
      <c r="K50">
        <f>IF(J50="Sí","Cobrado",IF(I50&lt;Dashboard!$B$1,"Vencido","Al día"))</f>
        <v/>
      </c>
    </row>
    <row r="51">
      <c r="A51" s="3" t="n">
        <v>46086</v>
      </c>
      <c r="B51" t="inlineStr">
        <is>
          <t>Kiosco La Esquina</t>
        </is>
      </c>
      <c r="C51" t="inlineStr">
        <is>
          <t>Diego Paz</t>
        </is>
      </c>
      <c r="D51" t="inlineStr">
        <is>
          <t>LIM-010</t>
        </is>
      </c>
      <c r="E51" t="n">
        <v>15</v>
      </c>
      <c r="F51" s="4" t="n">
        <v>2400</v>
      </c>
      <c r="G51" s="5" t="n">
        <v>0</v>
      </c>
      <c r="H51" s="4" t="n">
        <v>36000</v>
      </c>
      <c r="I51" s="3" t="n">
        <v>46142</v>
      </c>
      <c r="J51" t="inlineStr">
        <is>
          <t>Sí</t>
        </is>
      </c>
      <c r="K51">
        <f>IF(J51="Sí","Cobrado",IF(I51&lt;Dashboard!$B$1,"Vencido","Al día"))</f>
        <v/>
      </c>
    </row>
    <row r="52">
      <c r="A52" s="3" t="n">
        <v>46087</v>
      </c>
      <c r="B52" t="inlineStr">
        <is>
          <t>Colegio Nuevo Horizonte</t>
        </is>
      </c>
      <c r="C52" t="inlineStr">
        <is>
          <t>Carla Ruiz</t>
        </is>
      </c>
      <c r="D52" t="inlineStr">
        <is>
          <t>LIM-040</t>
        </is>
      </c>
      <c r="E52" t="n">
        <v>100</v>
      </c>
      <c r="F52" s="4" t="n">
        <v>9800</v>
      </c>
      <c r="G52" s="5" t="n">
        <v>0.1</v>
      </c>
      <c r="H52" s="4" t="n">
        <v>882000</v>
      </c>
      <c r="I52" s="3" t="n">
        <v>46142</v>
      </c>
      <c r="J52" t="inlineStr">
        <is>
          <t>Sí</t>
        </is>
      </c>
      <c r="K52">
        <f>IF(J52="Sí","Cobrado",IF(I52&lt;Dashboard!$B$1,"Vencido","Al día"))</f>
        <v/>
      </c>
    </row>
    <row r="53">
      <c r="A53" s="3" t="n">
        <v>46090</v>
      </c>
      <c r="B53" t="inlineStr">
        <is>
          <t>Colegio Nuevo Horizonte</t>
        </is>
      </c>
      <c r="C53" t="inlineStr">
        <is>
          <t>Carla Ruiz</t>
        </is>
      </c>
      <c r="D53" t="inlineStr">
        <is>
          <t>LIM-020</t>
        </is>
      </c>
      <c r="E53" t="n">
        <v>120</v>
      </c>
      <c r="F53" s="4" t="n">
        <v>3100</v>
      </c>
      <c r="G53" s="5" t="n">
        <v>0.1</v>
      </c>
      <c r="H53" s="4" t="n">
        <v>334800</v>
      </c>
      <c r="I53" s="3" t="n">
        <v>46142</v>
      </c>
      <c r="J53" t="inlineStr">
        <is>
          <t>Sí</t>
        </is>
      </c>
      <c r="K53">
        <f>IF(J53="Sí","Cobrado",IF(I53&lt;Dashboard!$B$1,"Vencido","Al día"))</f>
        <v/>
      </c>
    </row>
    <row r="54">
      <c r="A54" s="3" t="n">
        <v>46091</v>
      </c>
      <c r="B54" t="inlineStr">
        <is>
          <t>Kiosco La Esquina</t>
        </is>
      </c>
      <c r="C54" t="inlineStr">
        <is>
          <t>Carla Ruiz</t>
        </is>
      </c>
      <c r="D54" t="inlineStr">
        <is>
          <t>LIM-040</t>
        </is>
      </c>
      <c r="E54" t="n">
        <v>20</v>
      </c>
      <c r="F54" s="4" t="n">
        <v>9800</v>
      </c>
      <c r="G54" s="5" t="n">
        <v>0.1</v>
      </c>
      <c r="H54" s="4" t="n">
        <v>176400</v>
      </c>
      <c r="I54" s="3" t="n">
        <v>46142</v>
      </c>
      <c r="J54" t="inlineStr">
        <is>
          <t>Sí</t>
        </is>
      </c>
      <c r="K54">
        <f>IF(J54="Sí","Cobrado",IF(I54&lt;Dashboard!$B$1,"Vencido","Al día"))</f>
        <v/>
      </c>
    </row>
    <row r="55">
      <c r="A55" s="3" t="n">
        <v>46097</v>
      </c>
      <c r="B55" t="inlineStr">
        <is>
          <t>Ferretería El Tornillo</t>
        </is>
      </c>
      <c r="C55" t="inlineStr">
        <is>
          <t>Tomás Gil</t>
        </is>
      </c>
      <c r="D55" t="inlineStr">
        <is>
          <t>PAP-210</t>
        </is>
      </c>
      <c r="E55" t="n">
        <v>15</v>
      </c>
      <c r="F55" s="4" t="n">
        <v>6200</v>
      </c>
      <c r="G55" s="5" t="n">
        <v>0.05</v>
      </c>
      <c r="H55" s="4" t="n">
        <v>88350</v>
      </c>
      <c r="I55" s="3" t="n">
        <v>46142</v>
      </c>
      <c r="J55" t="inlineStr">
        <is>
          <t>Sí</t>
        </is>
      </c>
      <c r="K55">
        <f>IF(J55="Sí","Cobrado",IF(I55&lt;Dashboard!$B$1,"Vencido","Al día"))</f>
        <v/>
      </c>
    </row>
    <row r="56">
      <c r="A56" s="3" t="n">
        <v>46097</v>
      </c>
      <c r="B56" t="inlineStr">
        <is>
          <t>Librería San Martín Srl</t>
        </is>
      </c>
      <c r="C56" t="inlineStr">
        <is>
          <t>Carla Ruiz</t>
        </is>
      </c>
      <c r="D56" t="inlineStr">
        <is>
          <t>LIM-040</t>
        </is>
      </c>
      <c r="E56" t="n">
        <v>20</v>
      </c>
      <c r="F56" s="4" t="n">
        <v>9800</v>
      </c>
      <c r="G56" s="5" t="n">
        <v>0.1</v>
      </c>
      <c r="H56" s="4" t="n">
        <v>176400</v>
      </c>
      <c r="I56" s="3" t="n">
        <v>46142</v>
      </c>
      <c r="J56" t="inlineStr">
        <is>
          <t>Sí</t>
        </is>
      </c>
      <c r="K56">
        <f>IF(J56="Sí","Cobrado",IF(I56&lt;Dashboard!$B$1,"Vencido","Al día"))</f>
        <v/>
      </c>
    </row>
    <row r="57">
      <c r="A57" s="3" t="n">
        <v>46098</v>
      </c>
      <c r="B57" t="inlineStr">
        <is>
          <t>Colegio Nuevo Horizonte</t>
        </is>
      </c>
      <c r="C57" t="inlineStr">
        <is>
          <t>Tomás Gil</t>
        </is>
      </c>
      <c r="D57" t="inlineStr">
        <is>
          <t>PAP-220</t>
        </is>
      </c>
      <c r="E57" t="n">
        <v>120</v>
      </c>
      <c r="F57" s="4" t="n">
        <v>3900</v>
      </c>
      <c r="G57" s="5" t="n">
        <v>0.1</v>
      </c>
      <c r="H57" s="4" t="n">
        <v>421200</v>
      </c>
      <c r="I57" s="3" t="n">
        <v>46142</v>
      </c>
      <c r="J57" t="inlineStr">
        <is>
          <t>Sí</t>
        </is>
      </c>
      <c r="K57">
        <f>IF(J57="Sí","Cobrado",IF(I57&lt;Dashboard!$B$1,"Vencido","Al día"))</f>
        <v/>
      </c>
    </row>
    <row r="58">
      <c r="A58" s="3" t="n">
        <v>46099</v>
      </c>
      <c r="B58" t="inlineStr">
        <is>
          <t>Librería San Martín Srl</t>
        </is>
      </c>
      <c r="C58" t="inlineStr">
        <is>
          <t>Diego Paz</t>
        </is>
      </c>
      <c r="D58" t="inlineStr">
        <is>
          <t>LIM-030</t>
        </is>
      </c>
      <c r="E58" t="n">
        <v>80</v>
      </c>
      <c r="F58" s="4" t="n">
        <v>1150</v>
      </c>
      <c r="G58" s="5" t="n">
        <v>0.05</v>
      </c>
      <c r="H58" s="4" t="n">
        <v>87400</v>
      </c>
      <c r="I58" s="3" t="n">
        <v>46142</v>
      </c>
      <c r="J58" t="inlineStr">
        <is>
          <t>Sí</t>
        </is>
      </c>
      <c r="K58">
        <f>IF(J58="Sí","Cobrado",IF(I58&lt;Dashboard!$B$1,"Vencido","Al día"))</f>
        <v/>
      </c>
    </row>
    <row r="59">
      <c r="A59" s="3" t="n">
        <v>46099</v>
      </c>
      <c r="B59" t="inlineStr">
        <is>
          <t>Hotel Mirador</t>
        </is>
      </c>
      <c r="C59" t="inlineStr">
        <is>
          <t>Diego Paz</t>
        </is>
      </c>
      <c r="D59" t="inlineStr">
        <is>
          <t>LIM-010</t>
        </is>
      </c>
      <c r="E59" t="n">
        <v>20</v>
      </c>
      <c r="F59" s="4" t="n">
        <v>2400</v>
      </c>
      <c r="G59" s="5" t="n">
        <v>0.05</v>
      </c>
      <c r="H59" s="4" t="n">
        <v>45600</v>
      </c>
      <c r="I59" s="3" t="n">
        <v>46142</v>
      </c>
      <c r="J59" t="inlineStr">
        <is>
          <t>Sí</t>
        </is>
      </c>
      <c r="K59">
        <f>IF(J59="Sí","Cobrado",IF(I59&lt;Dashboard!$B$1,"Vencido","Al día"))</f>
        <v/>
      </c>
    </row>
    <row r="60">
      <c r="A60" s="3" t="n">
        <v>46100</v>
      </c>
      <c r="B60" t="inlineStr">
        <is>
          <t>Colegio Nuevo Horizonte</t>
        </is>
      </c>
      <c r="C60" t="inlineStr">
        <is>
          <t>Carla Ruiz</t>
        </is>
      </c>
      <c r="D60" t="inlineStr">
        <is>
          <t>LIM-040</t>
        </is>
      </c>
      <c r="E60" t="n">
        <v>12</v>
      </c>
      <c r="F60" s="4" t="n">
        <v>9800</v>
      </c>
      <c r="G60" s="5" t="n">
        <v>0.1</v>
      </c>
      <c r="H60" s="4" t="n">
        <v>105840</v>
      </c>
      <c r="I60" s="3" t="n">
        <v>46142</v>
      </c>
      <c r="J60" t="inlineStr">
        <is>
          <t>Sí</t>
        </is>
      </c>
      <c r="K60">
        <f>IF(J60="Sí","Cobrado",IF(I60&lt;Dashboard!$B$1,"Vencido","Al día"))</f>
        <v/>
      </c>
    </row>
    <row r="61">
      <c r="A61" s="3" t="n">
        <v>46100</v>
      </c>
      <c r="B61" t="inlineStr">
        <is>
          <t>Hotel Mirador</t>
        </is>
      </c>
      <c r="C61" t="inlineStr">
        <is>
          <t>Diego Paz</t>
        </is>
      </c>
      <c r="D61" t="inlineStr">
        <is>
          <t>PAP-210</t>
        </is>
      </c>
      <c r="E61" t="n">
        <v>50</v>
      </c>
      <c r="F61" s="4" t="n">
        <v>6200</v>
      </c>
      <c r="G61" s="5" t="n">
        <v>0.1</v>
      </c>
      <c r="H61" s="4" t="n">
        <v>279000</v>
      </c>
      <c r="I61" s="3" t="n">
        <v>46142</v>
      </c>
      <c r="J61" t="inlineStr">
        <is>
          <t>Sí</t>
        </is>
      </c>
      <c r="K61">
        <f>IF(J61="Sí","Cobrado",IF(I61&lt;Dashboard!$B$1,"Vencido","Al día"))</f>
        <v/>
      </c>
    </row>
    <row r="62">
      <c r="A62" s="3" t="n">
        <v>46101</v>
      </c>
      <c r="B62" t="inlineStr">
        <is>
          <t>Colegio Nuevo Horizonte</t>
        </is>
      </c>
      <c r="C62" t="inlineStr">
        <is>
          <t>Tomás Gil</t>
        </is>
      </c>
      <c r="D62" t="inlineStr">
        <is>
          <t>LIM-030</t>
        </is>
      </c>
      <c r="E62" t="n">
        <v>50</v>
      </c>
      <c r="F62" s="4" t="n">
        <v>1150</v>
      </c>
      <c r="G62" s="5" t="n">
        <v>0.05</v>
      </c>
      <c r="H62" s="4" t="n">
        <v>54625</v>
      </c>
      <c r="I62" s="3" t="n">
        <v>46142</v>
      </c>
      <c r="J62" t="inlineStr">
        <is>
          <t>Sí</t>
        </is>
      </c>
      <c r="K62">
        <f>IF(J62="Sí","Cobrado",IF(I62&lt;Dashboard!$B$1,"Vencido","Al día"))</f>
        <v/>
      </c>
    </row>
    <row r="63">
      <c r="A63" s="3" t="n">
        <v>46101</v>
      </c>
      <c r="B63" t="inlineStr">
        <is>
          <t>Ferretería El Tornillo</t>
        </is>
      </c>
      <c r="C63" t="inlineStr">
        <is>
          <t>Diego Paz</t>
        </is>
      </c>
      <c r="D63" t="inlineStr">
        <is>
          <t>LIM-020</t>
        </is>
      </c>
      <c r="E63" t="n">
        <v>15</v>
      </c>
      <c r="F63" s="4" t="n">
        <v>3100</v>
      </c>
      <c r="G63" s="5" t="n">
        <v>0.05</v>
      </c>
      <c r="H63" s="4" t="n">
        <v>44175</v>
      </c>
      <c r="I63" s="3" t="n">
        <v>46142</v>
      </c>
      <c r="J63" t="inlineStr">
        <is>
          <t>Sí</t>
        </is>
      </c>
      <c r="K63">
        <f>IF(J63="Sí","Cobrado",IF(I63&lt;Dashboard!$B$1,"Vencido","Al día"))</f>
        <v/>
      </c>
    </row>
    <row r="64">
      <c r="A64" s="3" t="n">
        <v>46104</v>
      </c>
      <c r="B64" t="inlineStr">
        <is>
          <t>Kiosco La Esquina</t>
        </is>
      </c>
      <c r="C64" t="inlineStr">
        <is>
          <t>Carla Ruiz</t>
        </is>
      </c>
      <c r="D64" t="inlineStr">
        <is>
          <t>LIM-040</t>
        </is>
      </c>
      <c r="E64" t="n">
        <v>80</v>
      </c>
      <c r="F64" s="4" t="n">
        <v>9800</v>
      </c>
      <c r="G64" s="5" t="n">
        <v>0.1</v>
      </c>
      <c r="H64" s="4" t="n">
        <v>705600</v>
      </c>
      <c r="I64" s="3" t="n">
        <v>46142</v>
      </c>
      <c r="J64" t="inlineStr">
        <is>
          <t>Sí</t>
        </is>
      </c>
      <c r="K64">
        <f>IF(J64="Sí","Cobrado",IF(I64&lt;Dashboard!$B$1,"Vencido","Al día"))</f>
        <v/>
      </c>
    </row>
    <row r="65">
      <c r="A65" s="3" t="n">
        <v>46105</v>
      </c>
      <c r="B65" t="inlineStr">
        <is>
          <t>Ferretería El Tornillo</t>
        </is>
      </c>
      <c r="C65" t="inlineStr">
        <is>
          <t>Diego Paz</t>
        </is>
      </c>
      <c r="D65" t="inlineStr">
        <is>
          <t>PAP-210</t>
        </is>
      </c>
      <c r="E65" t="n">
        <v>30</v>
      </c>
      <c r="F65" s="4" t="n">
        <v>6200</v>
      </c>
      <c r="G65" s="5" t="n">
        <v>0.1</v>
      </c>
      <c r="H65" s="4" t="n">
        <v>167400</v>
      </c>
      <c r="I65" s="3" t="n">
        <v>46142</v>
      </c>
      <c r="J65" t="inlineStr">
        <is>
          <t>Sí</t>
        </is>
      </c>
      <c r="K65">
        <f>IF(J65="Sí","Cobrado",IF(I65&lt;Dashboard!$B$1,"Vencido","Al día"))</f>
        <v/>
      </c>
    </row>
    <row r="66">
      <c r="A66" s="3" t="n">
        <v>46105</v>
      </c>
      <c r="B66" t="inlineStr">
        <is>
          <t>Colegio Nuevo Horizonte</t>
        </is>
      </c>
      <c r="C66" t="inlineStr">
        <is>
          <t>Tomás Gil</t>
        </is>
      </c>
      <c r="D66" t="inlineStr">
        <is>
          <t>PAP-200</t>
        </is>
      </c>
      <c r="E66" t="n">
        <v>25</v>
      </c>
      <c r="F66" s="4" t="n">
        <v>4500</v>
      </c>
      <c r="G66" s="5" t="n">
        <v>0.1</v>
      </c>
      <c r="H66" s="4" t="n">
        <v>101250</v>
      </c>
      <c r="I66" s="3" t="n">
        <v>46142</v>
      </c>
      <c r="J66" t="inlineStr">
        <is>
          <t>Sí</t>
        </is>
      </c>
      <c r="K66">
        <f>IF(J66="Sí","Cobrado",IF(I66&lt;Dashboard!$B$1,"Vencido","Al día"))</f>
        <v/>
      </c>
    </row>
    <row r="67">
      <c r="A67" s="3" t="n">
        <v>46106</v>
      </c>
      <c r="B67" t="inlineStr">
        <is>
          <t>Ferretería El Tornillo</t>
        </is>
      </c>
      <c r="C67" t="inlineStr">
        <is>
          <t>Tomás Gil</t>
        </is>
      </c>
      <c r="D67" t="inlineStr">
        <is>
          <t>LIM-010</t>
        </is>
      </c>
      <c r="E67" t="n">
        <v>120</v>
      </c>
      <c r="F67" s="4" t="n">
        <v>2400</v>
      </c>
      <c r="G67" s="5" t="n">
        <v>0.1</v>
      </c>
      <c r="H67" s="4" t="n">
        <v>259200</v>
      </c>
      <c r="I67" s="3" t="n">
        <v>46142</v>
      </c>
      <c r="J67" t="inlineStr">
        <is>
          <t>Sí</t>
        </is>
      </c>
      <c r="K67">
        <f>IF(J67="Sí","Cobrado",IF(I67&lt;Dashboard!$B$1,"Vencido","Al día"))</f>
        <v/>
      </c>
    </row>
    <row r="68">
      <c r="A68" s="3" t="n">
        <v>46106</v>
      </c>
      <c r="B68" t="inlineStr">
        <is>
          <t>Colegio Nuevo Horizonte</t>
        </is>
      </c>
      <c r="C68" t="inlineStr">
        <is>
          <t>Tomás Gil</t>
        </is>
      </c>
      <c r="D68" t="inlineStr">
        <is>
          <t>PAP-220</t>
        </is>
      </c>
      <c r="E68" t="n">
        <v>120</v>
      </c>
      <c r="F68" s="4" t="n">
        <v>3900</v>
      </c>
      <c r="G68" s="5" t="n">
        <v>0.1</v>
      </c>
      <c r="H68" s="4" t="n">
        <v>421200</v>
      </c>
      <c r="I68" s="3" t="n">
        <v>46142</v>
      </c>
      <c r="J68" t="inlineStr">
        <is>
          <t>Sí</t>
        </is>
      </c>
      <c r="K68">
        <f>IF(J68="Sí","Cobrado",IF(I68&lt;Dashboard!$B$1,"Vencido","Al día"))</f>
        <v/>
      </c>
    </row>
    <row r="69">
      <c r="A69" s="3" t="n">
        <v>46107</v>
      </c>
      <c r="B69" t="inlineStr">
        <is>
          <t>Colegio Nuevo Horizonte</t>
        </is>
      </c>
      <c r="C69" t="inlineStr">
        <is>
          <t>Tomás Gil</t>
        </is>
      </c>
      <c r="D69" t="inlineStr">
        <is>
          <t>LIM-030</t>
        </is>
      </c>
      <c r="E69" t="n">
        <v>20</v>
      </c>
      <c r="F69" s="4" t="n">
        <v>1150</v>
      </c>
      <c r="G69" s="5" t="n">
        <v>0</v>
      </c>
      <c r="H69" s="4" t="n">
        <v>23000</v>
      </c>
      <c r="I69" s="3" t="n">
        <v>46142</v>
      </c>
      <c r="J69" t="inlineStr">
        <is>
          <t>Sí</t>
        </is>
      </c>
      <c r="K69">
        <f>IF(J69="Sí","Cobrado",IF(I69&lt;Dashboard!$B$1,"Vencido","Al día"))</f>
        <v/>
      </c>
    </row>
    <row r="70">
      <c r="A70" s="3" t="n">
        <v>46108</v>
      </c>
      <c r="B70" t="inlineStr">
        <is>
          <t>Kiosco La Esquina</t>
        </is>
      </c>
      <c r="C70" t="inlineStr">
        <is>
          <t>Diego Paz</t>
        </is>
      </c>
      <c r="D70" t="inlineStr">
        <is>
          <t>PAP-210</t>
        </is>
      </c>
      <c r="E70" t="n">
        <v>10</v>
      </c>
      <c r="F70" s="4" t="n">
        <v>6200</v>
      </c>
      <c r="G70" s="5" t="n">
        <v>0.05</v>
      </c>
      <c r="H70" s="4" t="n">
        <v>58900</v>
      </c>
      <c r="I70" s="3" t="n">
        <v>46142</v>
      </c>
      <c r="J70" t="inlineStr">
        <is>
          <t>Sí</t>
        </is>
      </c>
      <c r="K70">
        <f>IF(J70="Sí","Cobrado",IF(I70&lt;Dashboard!$B$1,"Vencido","Al día"))</f>
        <v/>
      </c>
    </row>
    <row r="71">
      <c r="A71" s="3" t="n">
        <v>46108</v>
      </c>
      <c r="B71" t="inlineStr">
        <is>
          <t>Colegio Nuevo Horizonte</t>
        </is>
      </c>
      <c r="C71" t="inlineStr">
        <is>
          <t>Tomás Gil</t>
        </is>
      </c>
      <c r="D71" t="inlineStr">
        <is>
          <t>PAP-200</t>
        </is>
      </c>
      <c r="E71" t="n">
        <v>25</v>
      </c>
      <c r="F71" s="4" t="n">
        <v>4500</v>
      </c>
      <c r="G71" s="5" t="n">
        <v>0.1</v>
      </c>
      <c r="H71" s="4" t="n">
        <v>101250</v>
      </c>
      <c r="I71" s="3" t="n">
        <v>46142</v>
      </c>
      <c r="J71" t="inlineStr">
        <is>
          <t>Sí</t>
        </is>
      </c>
      <c r="K71">
        <f>IF(J71="Sí","Cobrado",IF(I71&lt;Dashboard!$B$1,"Vencido","Al día"))</f>
        <v/>
      </c>
    </row>
    <row r="72">
      <c r="A72" s="3" t="n">
        <v>46112</v>
      </c>
      <c r="B72" t="inlineStr">
        <is>
          <t>Hotel Mirador</t>
        </is>
      </c>
      <c r="C72" t="inlineStr">
        <is>
          <t>Tomás Gil</t>
        </is>
      </c>
      <c r="D72" t="inlineStr">
        <is>
          <t>LIM-030</t>
        </is>
      </c>
      <c r="E72" t="n">
        <v>12</v>
      </c>
      <c r="F72" s="4" t="n">
        <v>1150</v>
      </c>
      <c r="G72" s="5" t="n">
        <v>0</v>
      </c>
      <c r="H72" s="4" t="n">
        <v>13800</v>
      </c>
      <c r="I72" s="3" t="n">
        <v>46142</v>
      </c>
      <c r="J72" t="inlineStr">
        <is>
          <t>Sí</t>
        </is>
      </c>
      <c r="K72">
        <f>IF(J72="Sí","Cobrado",IF(I72&lt;Dashboard!$B$1,"Vencido","Al día"))</f>
        <v/>
      </c>
    </row>
    <row r="73">
      <c r="A73" s="3" t="n">
        <v>46113</v>
      </c>
      <c r="B73" t="inlineStr">
        <is>
          <t>Librería San Martín Srl</t>
        </is>
      </c>
      <c r="C73" t="inlineStr">
        <is>
          <t>Tomás Gil</t>
        </is>
      </c>
      <c r="D73" t="inlineStr">
        <is>
          <t>LIM-020</t>
        </is>
      </c>
      <c r="E73" t="n">
        <v>50</v>
      </c>
      <c r="F73" s="4" t="n">
        <v>3100</v>
      </c>
      <c r="G73" s="5" t="n">
        <v>0.1</v>
      </c>
      <c r="H73" s="4" t="n">
        <v>139500</v>
      </c>
      <c r="I73" s="3" t="n">
        <v>46173</v>
      </c>
      <c r="J73" t="inlineStr">
        <is>
          <t>Sí</t>
        </is>
      </c>
      <c r="K73">
        <f>IF(J73="Sí","Cobrado",IF(I73&lt;Dashboard!$B$1,"Vencido","Al día"))</f>
        <v/>
      </c>
    </row>
    <row r="74">
      <c r="A74" s="3" t="n">
        <v>46114</v>
      </c>
      <c r="B74" t="inlineStr">
        <is>
          <t>Hotel Mirador</t>
        </is>
      </c>
      <c r="C74" t="inlineStr">
        <is>
          <t>Diego Paz</t>
        </is>
      </c>
      <c r="D74" t="inlineStr">
        <is>
          <t>LIM-030</t>
        </is>
      </c>
      <c r="E74" t="n">
        <v>80</v>
      </c>
      <c r="F74" s="4" t="n">
        <v>1150</v>
      </c>
      <c r="G74" s="5" t="n">
        <v>0.05</v>
      </c>
      <c r="H74" s="4" t="n">
        <v>87400</v>
      </c>
      <c r="I74" s="3" t="n">
        <v>46173</v>
      </c>
      <c r="J74" t="inlineStr">
        <is>
          <t>Sí</t>
        </is>
      </c>
      <c r="K74">
        <f>IF(J74="Sí","Cobrado",IF(I74&lt;Dashboard!$B$1,"Vencido","Al día"))</f>
        <v/>
      </c>
    </row>
    <row r="75">
      <c r="A75" s="3" t="n">
        <v>46115</v>
      </c>
      <c r="B75" t="inlineStr">
        <is>
          <t>Hotel Mirador</t>
        </is>
      </c>
      <c r="C75" t="inlineStr">
        <is>
          <t>Carla Ruiz</t>
        </is>
      </c>
      <c r="D75" t="inlineStr">
        <is>
          <t>PAP-210</t>
        </is>
      </c>
      <c r="E75" t="n">
        <v>15</v>
      </c>
      <c r="F75" s="4" t="n">
        <v>6200</v>
      </c>
      <c r="G75" s="5" t="n">
        <v>0.05</v>
      </c>
      <c r="H75" s="4" t="n">
        <v>88350</v>
      </c>
      <c r="I75" s="3" t="n">
        <v>46173</v>
      </c>
      <c r="J75" t="inlineStr">
        <is>
          <t>Sí</t>
        </is>
      </c>
      <c r="K75">
        <f>IF(J75="Sí","Cobrado",IF(I75&lt;Dashboard!$B$1,"Vencido","Al día"))</f>
        <v/>
      </c>
    </row>
    <row r="76">
      <c r="A76" s="3" t="n">
        <v>46118</v>
      </c>
      <c r="B76" t="inlineStr">
        <is>
          <t>Hotel Mirador</t>
        </is>
      </c>
      <c r="C76" t="inlineStr">
        <is>
          <t>Tomás Gil</t>
        </is>
      </c>
      <c r="D76" t="inlineStr">
        <is>
          <t>LIM-020</t>
        </is>
      </c>
      <c r="E76" t="n">
        <v>30</v>
      </c>
      <c r="F76" s="4" t="n">
        <v>3100</v>
      </c>
      <c r="G76" s="5" t="n">
        <v>0.05</v>
      </c>
      <c r="H76" s="4" t="n">
        <v>88350</v>
      </c>
      <c r="I76" s="3" t="n">
        <v>46173</v>
      </c>
      <c r="J76" t="inlineStr">
        <is>
          <t>Sí</t>
        </is>
      </c>
      <c r="K76">
        <f>IF(J76="Sí","Cobrado",IF(I76&lt;Dashboard!$B$1,"Vencido","Al día"))</f>
        <v/>
      </c>
    </row>
    <row r="77">
      <c r="A77" s="3" t="n">
        <v>46118</v>
      </c>
      <c r="B77" t="inlineStr">
        <is>
          <t>Ferretería El Tornillo</t>
        </is>
      </c>
      <c r="C77" t="inlineStr">
        <is>
          <t>Carla Ruiz</t>
        </is>
      </c>
      <c r="D77" t="inlineStr">
        <is>
          <t>LIM-030</t>
        </is>
      </c>
      <c r="E77" t="n">
        <v>120</v>
      </c>
      <c r="F77" s="4" t="n">
        <v>1150</v>
      </c>
      <c r="G77" s="5" t="n">
        <v>0.1</v>
      </c>
      <c r="H77" s="4" t="n">
        <v>124200</v>
      </c>
      <c r="I77" s="3" t="n">
        <v>46173</v>
      </c>
      <c r="J77" t="inlineStr">
        <is>
          <t>Sí</t>
        </is>
      </c>
      <c r="K77">
        <f>IF(J77="Sí","Cobrado",IF(I77&lt;Dashboard!$B$1,"Vencido","Al día"))</f>
        <v/>
      </c>
    </row>
    <row r="78">
      <c r="A78" s="3" t="n">
        <v>46119</v>
      </c>
      <c r="B78" t="inlineStr">
        <is>
          <t>Colegio Nuevo Horizonte</t>
        </is>
      </c>
      <c r="C78" t="inlineStr">
        <is>
          <t>Carla Ruiz</t>
        </is>
      </c>
      <c r="D78" t="inlineStr">
        <is>
          <t>LIM-010</t>
        </is>
      </c>
      <c r="E78" t="n">
        <v>25</v>
      </c>
      <c r="F78" s="4" t="n">
        <v>2400</v>
      </c>
      <c r="G78" s="5" t="n">
        <v>0.05</v>
      </c>
      <c r="H78" s="4" t="n">
        <v>57000</v>
      </c>
      <c r="I78" s="3" t="n">
        <v>46173</v>
      </c>
      <c r="J78" t="inlineStr">
        <is>
          <t>Sí</t>
        </is>
      </c>
      <c r="K78">
        <f>IF(J78="Sí","Cobrado",IF(I78&lt;Dashboard!$B$1,"Vencido","Al día"))</f>
        <v/>
      </c>
    </row>
    <row r="79">
      <c r="A79" s="3" t="n">
        <v>46119</v>
      </c>
      <c r="B79" t="inlineStr">
        <is>
          <t>Kiosco La Esquina</t>
        </is>
      </c>
      <c r="C79" t="inlineStr">
        <is>
          <t>Carla Ruiz</t>
        </is>
      </c>
      <c r="D79" t="inlineStr">
        <is>
          <t>PAP-220</t>
        </is>
      </c>
      <c r="E79" t="n">
        <v>10</v>
      </c>
      <c r="F79" s="4" t="n">
        <v>3900</v>
      </c>
      <c r="G79" s="5" t="n">
        <v>0</v>
      </c>
      <c r="H79" s="4" t="n">
        <v>39000</v>
      </c>
      <c r="I79" s="3" t="n">
        <v>46173</v>
      </c>
      <c r="J79" t="inlineStr">
        <is>
          <t>Sí</t>
        </is>
      </c>
      <c r="K79">
        <f>IF(J79="Sí","Cobrado",IF(I79&lt;Dashboard!$B$1,"Vencido","Al día"))</f>
        <v/>
      </c>
    </row>
    <row r="80">
      <c r="A80" s="3" t="n">
        <v>46120</v>
      </c>
      <c r="B80" t="inlineStr">
        <is>
          <t>Hotel Mirador</t>
        </is>
      </c>
      <c r="C80" t="inlineStr">
        <is>
          <t>Diego Paz</t>
        </is>
      </c>
      <c r="D80" t="inlineStr">
        <is>
          <t>PAP-200</t>
        </is>
      </c>
      <c r="E80" t="n">
        <v>40</v>
      </c>
      <c r="F80" s="4" t="n">
        <v>4500</v>
      </c>
      <c r="G80" s="5" t="n">
        <v>0.1</v>
      </c>
      <c r="H80" s="4" t="n">
        <v>162000</v>
      </c>
      <c r="I80" s="3" t="n">
        <v>46173</v>
      </c>
      <c r="J80" t="inlineStr">
        <is>
          <t>Sí</t>
        </is>
      </c>
      <c r="K80">
        <f>IF(J80="Sí","Cobrado",IF(I80&lt;Dashboard!$B$1,"Vencido","Al día"))</f>
        <v/>
      </c>
    </row>
    <row r="81">
      <c r="A81" s="3" t="n">
        <v>46121</v>
      </c>
      <c r="B81" t="inlineStr">
        <is>
          <t>Kiosco La Esquina</t>
        </is>
      </c>
      <c r="C81" t="inlineStr">
        <is>
          <t>Diego Paz</t>
        </is>
      </c>
      <c r="D81" t="inlineStr">
        <is>
          <t>LIM-020</t>
        </is>
      </c>
      <c r="E81" t="n">
        <v>60</v>
      </c>
      <c r="F81" s="4" t="n">
        <v>3100</v>
      </c>
      <c r="G81" s="5" t="n">
        <v>0.1</v>
      </c>
      <c r="H81" s="4" t="n">
        <v>167400</v>
      </c>
      <c r="I81" s="3" t="n">
        <v>46173</v>
      </c>
      <c r="J81" t="inlineStr">
        <is>
          <t>Sí</t>
        </is>
      </c>
      <c r="K81">
        <f>IF(J81="Sí","Cobrado",IF(I81&lt;Dashboard!$B$1,"Vencido","Al día"))</f>
        <v/>
      </c>
    </row>
    <row r="82">
      <c r="A82" s="3" t="n">
        <v>46125</v>
      </c>
      <c r="B82" t="inlineStr">
        <is>
          <t>Colegio Nuevo Horizonte</t>
        </is>
      </c>
      <c r="C82" t="inlineStr">
        <is>
          <t>Carla Ruiz</t>
        </is>
      </c>
      <c r="D82" t="inlineStr">
        <is>
          <t>LIM-030</t>
        </is>
      </c>
      <c r="E82" t="n">
        <v>10</v>
      </c>
      <c r="F82" s="4" t="n">
        <v>1150</v>
      </c>
      <c r="G82" s="5" t="n">
        <v>0</v>
      </c>
      <c r="H82" s="4" t="n">
        <v>11500</v>
      </c>
      <c r="I82" s="3" t="n">
        <v>46173</v>
      </c>
      <c r="J82" t="inlineStr">
        <is>
          <t>Sí</t>
        </is>
      </c>
      <c r="K82">
        <f>IF(J82="Sí","Cobrado",IF(I82&lt;Dashboard!$B$1,"Vencido","Al día"))</f>
        <v/>
      </c>
    </row>
    <row r="83">
      <c r="A83" s="3" t="n">
        <v>46126</v>
      </c>
      <c r="B83" t="inlineStr">
        <is>
          <t>Librería San Martín Srl</t>
        </is>
      </c>
      <c r="C83" t="inlineStr">
        <is>
          <t>Carla Ruiz</t>
        </is>
      </c>
      <c r="D83" t="inlineStr">
        <is>
          <t>PAP-200</t>
        </is>
      </c>
      <c r="E83" t="n">
        <v>40</v>
      </c>
      <c r="F83" s="4" t="n">
        <v>4500</v>
      </c>
      <c r="G83" s="5" t="n">
        <v>0.1</v>
      </c>
      <c r="H83" s="4" t="n">
        <v>162000</v>
      </c>
      <c r="I83" s="3" t="n">
        <v>46173</v>
      </c>
      <c r="J83" t="inlineStr">
        <is>
          <t>Sí</t>
        </is>
      </c>
      <c r="K83">
        <f>IF(J83="Sí","Cobrado",IF(I83&lt;Dashboard!$B$1,"Vencido","Al día"))</f>
        <v/>
      </c>
    </row>
    <row r="84">
      <c r="A84" s="3" t="n">
        <v>46127</v>
      </c>
      <c r="B84" t="inlineStr">
        <is>
          <t>Librería San Martín Srl</t>
        </is>
      </c>
      <c r="C84" t="inlineStr">
        <is>
          <t>Diego Paz</t>
        </is>
      </c>
      <c r="D84" t="inlineStr">
        <is>
          <t>LIM-040</t>
        </is>
      </c>
      <c r="E84" t="n">
        <v>15</v>
      </c>
      <c r="F84" s="4" t="n">
        <v>9800</v>
      </c>
      <c r="G84" s="5" t="n">
        <v>0.1</v>
      </c>
      <c r="H84" s="4" t="n">
        <v>132300</v>
      </c>
      <c r="I84" s="3" t="n">
        <v>46173</v>
      </c>
      <c r="J84" t="inlineStr">
        <is>
          <t>Sí</t>
        </is>
      </c>
      <c r="K84">
        <f>IF(J84="Sí","Cobrado",IF(I84&lt;Dashboard!$B$1,"Vencido","Al día"))</f>
        <v/>
      </c>
    </row>
    <row r="85">
      <c r="A85" s="3" t="n">
        <v>46128</v>
      </c>
      <c r="B85" t="inlineStr">
        <is>
          <t>Ferretería El Tornillo</t>
        </is>
      </c>
      <c r="C85" t="inlineStr">
        <is>
          <t>Tomás Gil</t>
        </is>
      </c>
      <c r="D85" t="inlineStr">
        <is>
          <t>LIM-040</t>
        </is>
      </c>
      <c r="E85" t="n">
        <v>30</v>
      </c>
      <c r="F85" s="4" t="n">
        <v>9800</v>
      </c>
      <c r="G85" s="5" t="n">
        <v>0.1</v>
      </c>
      <c r="H85" s="4" t="n">
        <v>264600</v>
      </c>
      <c r="I85" s="3" t="n">
        <v>46173</v>
      </c>
      <c r="J85" t="inlineStr">
        <is>
          <t>Sí</t>
        </is>
      </c>
      <c r="K85">
        <f>IF(J85="Sí","Cobrado",IF(I85&lt;Dashboard!$B$1,"Vencido","Al día"))</f>
        <v/>
      </c>
    </row>
    <row r="86">
      <c r="A86" s="3" t="n">
        <v>46129</v>
      </c>
      <c r="B86" t="inlineStr">
        <is>
          <t>Librería San Martín Srl</t>
        </is>
      </c>
      <c r="C86" t="inlineStr">
        <is>
          <t>Carla Ruiz</t>
        </is>
      </c>
      <c r="D86" t="inlineStr">
        <is>
          <t>LIM-020</t>
        </is>
      </c>
      <c r="E86" t="n">
        <v>40</v>
      </c>
      <c r="F86" s="4" t="n">
        <v>3100</v>
      </c>
      <c r="G86" s="5" t="n">
        <v>0.1</v>
      </c>
      <c r="H86" s="4" t="n">
        <v>111600</v>
      </c>
      <c r="I86" s="3" t="n">
        <v>46173</v>
      </c>
      <c r="J86" t="inlineStr">
        <is>
          <t>Sí</t>
        </is>
      </c>
      <c r="K86">
        <f>IF(J86="Sí","Cobrado",IF(I86&lt;Dashboard!$B$1,"Vencido","Al día"))</f>
        <v/>
      </c>
    </row>
    <row r="87">
      <c r="A87" s="3" t="n">
        <v>46129</v>
      </c>
      <c r="B87" t="inlineStr">
        <is>
          <t>Ferretería El Tornillo</t>
        </is>
      </c>
      <c r="C87" t="inlineStr">
        <is>
          <t>Tomás Gil</t>
        </is>
      </c>
      <c r="D87" t="inlineStr">
        <is>
          <t>PAP-210</t>
        </is>
      </c>
      <c r="E87" t="n">
        <v>12</v>
      </c>
      <c r="F87" s="4" t="n">
        <v>6200</v>
      </c>
      <c r="G87" s="5" t="n">
        <v>0.05</v>
      </c>
      <c r="H87" s="4" t="n">
        <v>70680</v>
      </c>
      <c r="I87" s="3" t="n">
        <v>46173</v>
      </c>
      <c r="J87" t="inlineStr">
        <is>
          <t>Sí</t>
        </is>
      </c>
      <c r="K87">
        <f>IF(J87="Sí","Cobrado",IF(I87&lt;Dashboard!$B$1,"Vencido","Al día"))</f>
        <v/>
      </c>
    </row>
    <row r="88">
      <c r="A88" s="3" t="n">
        <v>46132</v>
      </c>
      <c r="B88" t="inlineStr">
        <is>
          <t>Colegio Nuevo Horizonte</t>
        </is>
      </c>
      <c r="C88" t="inlineStr">
        <is>
          <t>Diego Paz</t>
        </is>
      </c>
      <c r="D88" t="inlineStr">
        <is>
          <t>LIM-010</t>
        </is>
      </c>
      <c r="E88" t="n">
        <v>40</v>
      </c>
      <c r="F88" s="4" t="n">
        <v>2400</v>
      </c>
      <c r="G88" s="5" t="n">
        <v>0.05</v>
      </c>
      <c r="H88" s="4" t="n">
        <v>91200</v>
      </c>
      <c r="I88" s="3" t="n">
        <v>46173</v>
      </c>
      <c r="J88" t="inlineStr">
        <is>
          <t>Sí</t>
        </is>
      </c>
      <c r="K88">
        <f>IF(J88="Sí","Cobrado",IF(I88&lt;Dashboard!$B$1,"Vencido","Al día"))</f>
        <v/>
      </c>
    </row>
    <row r="89">
      <c r="A89" s="3" t="n">
        <v>46133</v>
      </c>
      <c r="B89" t="inlineStr">
        <is>
          <t>Librería San Martín Srl</t>
        </is>
      </c>
      <c r="C89" t="inlineStr">
        <is>
          <t>Carla Ruiz</t>
        </is>
      </c>
      <c r="D89" t="inlineStr">
        <is>
          <t>PAP-210</t>
        </is>
      </c>
      <c r="E89" t="n">
        <v>25</v>
      </c>
      <c r="F89" s="4" t="n">
        <v>6200</v>
      </c>
      <c r="G89" s="5" t="n">
        <v>0.1</v>
      </c>
      <c r="H89" s="4" t="n">
        <v>139500</v>
      </c>
      <c r="I89" s="3" t="n">
        <v>46173</v>
      </c>
      <c r="J89" t="inlineStr">
        <is>
          <t>Sí</t>
        </is>
      </c>
      <c r="K89">
        <f>IF(J89="Sí","Cobrado",IF(I89&lt;Dashboard!$B$1,"Vencido","Al día"))</f>
        <v/>
      </c>
    </row>
    <row r="90">
      <c r="A90" s="3" t="n">
        <v>46133</v>
      </c>
      <c r="B90" t="inlineStr">
        <is>
          <t>Ferretería El Tornillo</t>
        </is>
      </c>
      <c r="C90" t="inlineStr">
        <is>
          <t>Tomás Gil</t>
        </is>
      </c>
      <c r="D90" t="inlineStr">
        <is>
          <t>LIM-020</t>
        </is>
      </c>
      <c r="E90" t="n">
        <v>120</v>
      </c>
      <c r="F90" s="4" t="n">
        <v>3100</v>
      </c>
      <c r="G90" s="5" t="n">
        <v>0.1</v>
      </c>
      <c r="H90" s="4" t="n">
        <v>334800</v>
      </c>
      <c r="I90" s="3" t="n">
        <v>46173</v>
      </c>
      <c r="J90" t="inlineStr">
        <is>
          <t>Sí</t>
        </is>
      </c>
      <c r="K90">
        <f>IF(J90="Sí","Cobrado",IF(I90&lt;Dashboard!$B$1,"Vencido","Al día"))</f>
        <v/>
      </c>
    </row>
    <row r="91">
      <c r="A91" s="3" t="n">
        <v>46134</v>
      </c>
      <c r="B91" t="inlineStr">
        <is>
          <t>Kiosco La Esquina</t>
        </is>
      </c>
      <c r="C91" t="inlineStr">
        <is>
          <t>Diego Paz</t>
        </is>
      </c>
      <c r="D91" t="inlineStr">
        <is>
          <t>LIM-040</t>
        </is>
      </c>
      <c r="E91" t="n">
        <v>40</v>
      </c>
      <c r="F91" s="4" t="n">
        <v>9800</v>
      </c>
      <c r="G91" s="5" t="n">
        <v>0.1</v>
      </c>
      <c r="H91" s="4" t="n">
        <v>352800</v>
      </c>
      <c r="I91" s="3" t="n">
        <v>46173</v>
      </c>
      <c r="J91" t="inlineStr">
        <is>
          <t>Sí</t>
        </is>
      </c>
      <c r="K91">
        <f>IF(J91="Sí","Cobrado",IF(I91&lt;Dashboard!$B$1,"Vencido","Al día"))</f>
        <v/>
      </c>
    </row>
    <row r="92">
      <c r="A92" s="3" t="n">
        <v>46135</v>
      </c>
      <c r="B92" t="inlineStr">
        <is>
          <t>Ferretería El Tornillo</t>
        </is>
      </c>
      <c r="C92" t="inlineStr">
        <is>
          <t>Tomás Gil</t>
        </is>
      </c>
      <c r="D92" t="inlineStr">
        <is>
          <t>LIM-030</t>
        </is>
      </c>
      <c r="E92" t="n">
        <v>10</v>
      </c>
      <c r="F92" s="4" t="n">
        <v>1150</v>
      </c>
      <c r="G92" s="5" t="n">
        <v>0</v>
      </c>
      <c r="H92" s="4" t="n">
        <v>11500</v>
      </c>
      <c r="I92" s="3" t="n">
        <v>46173</v>
      </c>
      <c r="J92" t="inlineStr">
        <is>
          <t>Sí</t>
        </is>
      </c>
      <c r="K92">
        <f>IF(J92="Sí","Cobrado",IF(I92&lt;Dashboard!$B$1,"Vencido","Al día"))</f>
        <v/>
      </c>
    </row>
    <row r="93">
      <c r="A93" s="3" t="n">
        <v>46136</v>
      </c>
      <c r="B93" t="inlineStr">
        <is>
          <t>Colegio Nuevo Horizonte</t>
        </is>
      </c>
      <c r="C93" t="inlineStr">
        <is>
          <t>Tomás Gil</t>
        </is>
      </c>
      <c r="D93" t="inlineStr">
        <is>
          <t>PAP-200</t>
        </is>
      </c>
      <c r="E93" t="n">
        <v>120</v>
      </c>
      <c r="F93" s="4" t="n">
        <v>4500</v>
      </c>
      <c r="G93" s="5" t="n">
        <v>0.1</v>
      </c>
      <c r="H93" s="4" t="n">
        <v>486000</v>
      </c>
      <c r="I93" s="3" t="n">
        <v>46173</v>
      </c>
      <c r="J93" t="inlineStr">
        <is>
          <t>Sí</t>
        </is>
      </c>
      <c r="K93">
        <f>IF(J93="Sí","Cobrado",IF(I93&lt;Dashboard!$B$1,"Vencido","Al día"))</f>
        <v/>
      </c>
    </row>
    <row r="94">
      <c r="A94" s="3" t="n">
        <v>46136</v>
      </c>
      <c r="B94" t="inlineStr">
        <is>
          <t>Hotel Mirador</t>
        </is>
      </c>
      <c r="C94" t="inlineStr">
        <is>
          <t>Diego Paz</t>
        </is>
      </c>
      <c r="D94" t="inlineStr">
        <is>
          <t>LIM-010</t>
        </is>
      </c>
      <c r="E94" t="n">
        <v>60</v>
      </c>
      <c r="F94" s="4" t="n">
        <v>2400</v>
      </c>
      <c r="G94" s="5" t="n">
        <v>0.1</v>
      </c>
      <c r="H94" s="4" t="n">
        <v>129600</v>
      </c>
      <c r="I94" s="3" t="n">
        <v>46173</v>
      </c>
      <c r="J94" t="inlineStr">
        <is>
          <t>Sí</t>
        </is>
      </c>
      <c r="K94">
        <f>IF(J94="Sí","Cobrado",IF(I94&lt;Dashboard!$B$1,"Vencido","Al día"))</f>
        <v/>
      </c>
    </row>
    <row r="95">
      <c r="A95" s="3" t="n">
        <v>46142</v>
      </c>
      <c r="B95" t="inlineStr">
        <is>
          <t>Ferretería El Tornillo</t>
        </is>
      </c>
      <c r="C95" t="inlineStr">
        <is>
          <t>Diego Paz</t>
        </is>
      </c>
      <c r="D95" t="inlineStr">
        <is>
          <t>PAP-200</t>
        </is>
      </c>
      <c r="E95" t="n">
        <v>120</v>
      </c>
      <c r="F95" s="4" t="n">
        <v>4500</v>
      </c>
      <c r="G95" s="5" t="n">
        <v>0.1</v>
      </c>
      <c r="H95" s="4" t="n">
        <v>486000</v>
      </c>
      <c r="I95" s="3" t="n">
        <v>46173</v>
      </c>
      <c r="J95" t="inlineStr">
        <is>
          <t>Sí</t>
        </is>
      </c>
      <c r="K95">
        <f>IF(J95="Sí","Cobrado",IF(I95&lt;Dashboard!$B$1,"Vencido","Al día"))</f>
        <v/>
      </c>
    </row>
    <row r="96">
      <c r="A96" s="3" t="n">
        <v>46146</v>
      </c>
      <c r="B96" t="inlineStr">
        <is>
          <t>Librería San Martín Srl</t>
        </is>
      </c>
      <c r="C96" t="inlineStr">
        <is>
          <t>Carla Ruiz</t>
        </is>
      </c>
      <c r="D96" t="inlineStr">
        <is>
          <t>LIM-020</t>
        </is>
      </c>
      <c r="E96" t="n">
        <v>12</v>
      </c>
      <c r="F96" s="4" t="n">
        <v>3100</v>
      </c>
      <c r="G96" s="5" t="n">
        <v>0</v>
      </c>
      <c r="H96" s="4" t="n">
        <v>37200</v>
      </c>
      <c r="I96" s="3" t="n">
        <v>46203</v>
      </c>
      <c r="J96" t="inlineStr">
        <is>
          <t>Sí</t>
        </is>
      </c>
      <c r="K96">
        <f>IF(J96="Sí","Cobrado",IF(I96&lt;Dashboard!$B$1,"Vencido","Al día"))</f>
        <v/>
      </c>
    </row>
    <row r="97">
      <c r="A97" s="3" t="n">
        <v>46148</v>
      </c>
      <c r="B97" t="inlineStr">
        <is>
          <t>Ferretería El Tornillo</t>
        </is>
      </c>
      <c r="C97" t="inlineStr">
        <is>
          <t>Diego Paz</t>
        </is>
      </c>
      <c r="D97" t="inlineStr">
        <is>
          <t>LIM-010</t>
        </is>
      </c>
      <c r="E97" t="n">
        <v>15</v>
      </c>
      <c r="F97" s="4" t="n">
        <v>2400</v>
      </c>
      <c r="G97" s="5" t="n">
        <v>0</v>
      </c>
      <c r="H97" s="4" t="n">
        <v>36000</v>
      </c>
      <c r="I97" s="3" t="n">
        <v>46203</v>
      </c>
      <c r="J97" t="inlineStr">
        <is>
          <t>Sí</t>
        </is>
      </c>
      <c r="K97">
        <f>IF(J97="Sí","Cobrado",IF(I97&lt;Dashboard!$B$1,"Vencido","Al día"))</f>
        <v/>
      </c>
    </row>
    <row r="98">
      <c r="A98" s="3" t="n">
        <v>46149</v>
      </c>
      <c r="B98" t="inlineStr">
        <is>
          <t>Librería San Martín Srl</t>
        </is>
      </c>
      <c r="C98" t="inlineStr">
        <is>
          <t>Carla Ruiz</t>
        </is>
      </c>
      <c r="D98" t="inlineStr">
        <is>
          <t>LIM-020</t>
        </is>
      </c>
      <c r="E98" t="n">
        <v>100</v>
      </c>
      <c r="F98" s="4" t="n">
        <v>3100</v>
      </c>
      <c r="G98" s="5" t="n">
        <v>0.1</v>
      </c>
      <c r="H98" s="4" t="n">
        <v>279000</v>
      </c>
      <c r="I98" s="3" t="n">
        <v>46203</v>
      </c>
      <c r="J98" t="inlineStr">
        <is>
          <t>Sí</t>
        </is>
      </c>
      <c r="K98">
        <f>IF(J98="Sí","Cobrado",IF(I98&lt;Dashboard!$B$1,"Vencido","Al día"))</f>
        <v/>
      </c>
    </row>
    <row r="99">
      <c r="A99" s="3" t="n">
        <v>46150</v>
      </c>
      <c r="B99" t="inlineStr">
        <is>
          <t>Ferretería El Tornillo</t>
        </is>
      </c>
      <c r="C99" t="inlineStr">
        <is>
          <t>Tomás Gil</t>
        </is>
      </c>
      <c r="D99" t="inlineStr">
        <is>
          <t>LIM-020</t>
        </is>
      </c>
      <c r="E99" t="n">
        <v>40</v>
      </c>
      <c r="F99" s="4" t="n">
        <v>3100</v>
      </c>
      <c r="G99" s="5" t="n">
        <v>0.1</v>
      </c>
      <c r="H99" s="4" t="n">
        <v>111600</v>
      </c>
      <c r="I99" s="3" t="n">
        <v>46203</v>
      </c>
      <c r="J99" t="inlineStr">
        <is>
          <t>Sí</t>
        </is>
      </c>
      <c r="K99">
        <f>IF(J99="Sí","Cobrado",IF(I99&lt;Dashboard!$B$1,"Vencido","Al día"))</f>
        <v/>
      </c>
    </row>
    <row r="100">
      <c r="A100" s="3" t="n">
        <v>46150</v>
      </c>
      <c r="B100" t="inlineStr">
        <is>
          <t>Kiosco La Esquina</t>
        </is>
      </c>
      <c r="C100" t="inlineStr">
        <is>
          <t>Carla Ruiz</t>
        </is>
      </c>
      <c r="D100" t="inlineStr">
        <is>
          <t>PAP-200</t>
        </is>
      </c>
      <c r="E100" t="n">
        <v>100</v>
      </c>
      <c r="F100" s="4" t="n">
        <v>4500</v>
      </c>
      <c r="G100" s="5" t="n">
        <v>0.1</v>
      </c>
      <c r="H100" s="4" t="n">
        <v>405000</v>
      </c>
      <c r="I100" s="3" t="n">
        <v>46203</v>
      </c>
      <c r="J100" t="inlineStr">
        <is>
          <t>Sí</t>
        </is>
      </c>
      <c r="K100">
        <f>IF(J100="Sí","Cobrado",IF(I100&lt;Dashboard!$B$1,"Vencido","Al día"))</f>
        <v/>
      </c>
    </row>
    <row r="101">
      <c r="A101" s="3" t="n">
        <v>46153</v>
      </c>
      <c r="B101" t="inlineStr">
        <is>
          <t>Ferretería El Tornillo</t>
        </is>
      </c>
      <c r="C101" t="inlineStr">
        <is>
          <t>Carla Ruiz</t>
        </is>
      </c>
      <c r="D101" t="inlineStr">
        <is>
          <t>LIM-020</t>
        </is>
      </c>
      <c r="E101" t="n">
        <v>120</v>
      </c>
      <c r="F101" s="4" t="n">
        <v>3100</v>
      </c>
      <c r="G101" s="5" t="n">
        <v>0.1</v>
      </c>
      <c r="H101" s="4" t="n">
        <v>334800</v>
      </c>
      <c r="I101" s="3" t="n">
        <v>46203</v>
      </c>
      <c r="J101" t="inlineStr">
        <is>
          <t>Sí</t>
        </is>
      </c>
      <c r="K101">
        <f>IF(J101="Sí","Cobrado",IF(I101&lt;Dashboard!$B$1,"Vencido","Al día"))</f>
        <v/>
      </c>
    </row>
    <row r="102">
      <c r="A102" s="3" t="n">
        <v>46154</v>
      </c>
      <c r="B102" t="inlineStr">
        <is>
          <t>Ferretería El Tornillo</t>
        </is>
      </c>
      <c r="C102" t="inlineStr">
        <is>
          <t>Carla Ruiz</t>
        </is>
      </c>
      <c r="D102" t="inlineStr">
        <is>
          <t>LIM-010</t>
        </is>
      </c>
      <c r="E102" t="n">
        <v>120</v>
      </c>
      <c r="F102" s="4" t="n">
        <v>2400</v>
      </c>
      <c r="G102" s="5" t="n">
        <v>0.1</v>
      </c>
      <c r="H102" s="4" t="n">
        <v>259200</v>
      </c>
      <c r="I102" s="3" t="n">
        <v>46203</v>
      </c>
      <c r="J102" t="inlineStr">
        <is>
          <t>Sí</t>
        </is>
      </c>
      <c r="K102">
        <f>IF(J102="Sí","Cobrado",IF(I102&lt;Dashboard!$B$1,"Vencido","Al día"))</f>
        <v/>
      </c>
    </row>
    <row r="103">
      <c r="A103" s="3" t="n">
        <v>46154</v>
      </c>
      <c r="B103" t="inlineStr">
        <is>
          <t>Ferretería El Tornillo</t>
        </is>
      </c>
      <c r="C103" t="inlineStr">
        <is>
          <t>Diego Paz</t>
        </is>
      </c>
      <c r="D103" t="inlineStr">
        <is>
          <t>PAP-210</t>
        </is>
      </c>
      <c r="E103" t="n">
        <v>100</v>
      </c>
      <c r="F103" s="4" t="n">
        <v>6200</v>
      </c>
      <c r="G103" s="5" t="n">
        <v>0.1</v>
      </c>
      <c r="H103" s="4" t="n">
        <v>558000</v>
      </c>
      <c r="I103" s="3" t="n">
        <v>46203</v>
      </c>
      <c r="J103" t="inlineStr">
        <is>
          <t>Sí</t>
        </is>
      </c>
      <c r="K103">
        <f>IF(J103="Sí","Cobrado",IF(I103&lt;Dashboard!$B$1,"Vencido","Al día"))</f>
        <v/>
      </c>
    </row>
    <row r="104">
      <c r="A104" s="3" t="n">
        <v>46155</v>
      </c>
      <c r="B104" t="inlineStr">
        <is>
          <t>Ferretería El Tornillo</t>
        </is>
      </c>
      <c r="C104" t="inlineStr">
        <is>
          <t>Carla Ruiz</t>
        </is>
      </c>
      <c r="D104" t="inlineStr">
        <is>
          <t>LIM-040</t>
        </is>
      </c>
      <c r="E104" t="n">
        <v>20</v>
      </c>
      <c r="F104" s="4" t="n">
        <v>9800</v>
      </c>
      <c r="G104" s="5" t="n">
        <v>0.1</v>
      </c>
      <c r="H104" s="4" t="n">
        <v>176400</v>
      </c>
      <c r="I104" s="3" t="n">
        <v>46203</v>
      </c>
      <c r="J104" t="inlineStr">
        <is>
          <t>Sí</t>
        </is>
      </c>
      <c r="K104">
        <f>IF(J104="Sí","Cobrado",IF(I104&lt;Dashboard!$B$1,"Vencido","Al día"))</f>
        <v/>
      </c>
    </row>
    <row r="105">
      <c r="A105" s="3" t="n">
        <v>46156</v>
      </c>
      <c r="B105" t="inlineStr">
        <is>
          <t>Colegio Nuevo Horizonte</t>
        </is>
      </c>
      <c r="C105" t="inlineStr">
        <is>
          <t>Carla Ruiz</t>
        </is>
      </c>
      <c r="D105" t="inlineStr">
        <is>
          <t>LIM-030</t>
        </is>
      </c>
      <c r="E105" t="n">
        <v>20</v>
      </c>
      <c r="F105" s="4" t="n">
        <v>1150</v>
      </c>
      <c r="G105" s="5" t="n">
        <v>0</v>
      </c>
      <c r="H105" s="4" t="n">
        <v>23000</v>
      </c>
      <c r="I105" s="3" t="n">
        <v>46203</v>
      </c>
      <c r="J105" t="inlineStr">
        <is>
          <t>Sí</t>
        </is>
      </c>
      <c r="K105">
        <f>IF(J105="Sí","Cobrado",IF(I105&lt;Dashboard!$B$1,"Vencido","Al día"))</f>
        <v/>
      </c>
    </row>
    <row r="106">
      <c r="A106" s="3" t="n">
        <v>46157</v>
      </c>
      <c r="B106" t="inlineStr">
        <is>
          <t>Librería San Martín Srl</t>
        </is>
      </c>
      <c r="C106" t="inlineStr">
        <is>
          <t>Carla Ruiz</t>
        </is>
      </c>
      <c r="D106" t="inlineStr">
        <is>
          <t>PAP-220</t>
        </is>
      </c>
      <c r="E106" t="n">
        <v>60</v>
      </c>
      <c r="F106" s="4" t="n">
        <v>3900</v>
      </c>
      <c r="G106" s="5" t="n">
        <v>0.1</v>
      </c>
      <c r="H106" s="4" t="n">
        <v>210600</v>
      </c>
      <c r="I106" s="3" t="n">
        <v>46203</v>
      </c>
      <c r="J106" t="inlineStr">
        <is>
          <t>Sí</t>
        </is>
      </c>
      <c r="K106">
        <f>IF(J106="Sí","Cobrado",IF(I106&lt;Dashboard!$B$1,"Vencido","Al día"))</f>
        <v/>
      </c>
    </row>
    <row r="107">
      <c r="A107" s="3" t="n">
        <v>46157</v>
      </c>
      <c r="B107" t="inlineStr">
        <is>
          <t>Colegio Nuevo Horizonte</t>
        </is>
      </c>
      <c r="C107" t="inlineStr">
        <is>
          <t>Diego Paz</t>
        </is>
      </c>
      <c r="D107" t="inlineStr">
        <is>
          <t>LIM-010</t>
        </is>
      </c>
      <c r="E107" t="n">
        <v>20</v>
      </c>
      <c r="F107" s="4" t="n">
        <v>2400</v>
      </c>
      <c r="G107" s="5" t="n">
        <v>0.05</v>
      </c>
      <c r="H107" s="4" t="n">
        <v>45600</v>
      </c>
      <c r="I107" s="3" t="n">
        <v>46203</v>
      </c>
      <c r="J107" t="inlineStr">
        <is>
          <t>Sí</t>
        </is>
      </c>
      <c r="K107">
        <f>IF(J107="Sí","Cobrado",IF(I107&lt;Dashboard!$B$1,"Vencido","Al día"))</f>
        <v/>
      </c>
    </row>
    <row r="108">
      <c r="A108" s="3" t="n">
        <v>46160</v>
      </c>
      <c r="B108" t="inlineStr">
        <is>
          <t>Ferretería El Tornillo</t>
        </is>
      </c>
      <c r="C108" t="inlineStr">
        <is>
          <t>Tomás Gil</t>
        </is>
      </c>
      <c r="D108" t="inlineStr">
        <is>
          <t>LIM-020</t>
        </is>
      </c>
      <c r="E108" t="n">
        <v>10</v>
      </c>
      <c r="F108" s="4" t="n">
        <v>3100</v>
      </c>
      <c r="G108" s="5" t="n">
        <v>0</v>
      </c>
      <c r="H108" s="4" t="n">
        <v>31000</v>
      </c>
      <c r="I108" s="3" t="n">
        <v>46203</v>
      </c>
      <c r="J108" t="inlineStr">
        <is>
          <t>Sí</t>
        </is>
      </c>
      <c r="K108">
        <f>IF(J108="Sí","Cobrado",IF(I108&lt;Dashboard!$B$1,"Vencido","Al día"))</f>
        <v/>
      </c>
    </row>
    <row r="109">
      <c r="A109" s="3" t="n">
        <v>46161</v>
      </c>
      <c r="B109" t="inlineStr">
        <is>
          <t>Kiosco La Esquina</t>
        </is>
      </c>
      <c r="C109" t="inlineStr">
        <is>
          <t>Carla Ruiz</t>
        </is>
      </c>
      <c r="D109" t="inlineStr">
        <is>
          <t>PAP-220</t>
        </is>
      </c>
      <c r="E109" t="n">
        <v>40</v>
      </c>
      <c r="F109" s="4" t="n">
        <v>3900</v>
      </c>
      <c r="G109" s="5" t="n">
        <v>0.1</v>
      </c>
      <c r="H109" s="4" t="n">
        <v>140400</v>
      </c>
      <c r="I109" s="3" t="n">
        <v>46203</v>
      </c>
      <c r="J109" t="inlineStr">
        <is>
          <t>Sí</t>
        </is>
      </c>
      <c r="K109">
        <f>IF(J109="Sí","Cobrado",IF(I109&lt;Dashboard!$B$1,"Vencido","Al día"))</f>
        <v/>
      </c>
    </row>
    <row r="110">
      <c r="A110" s="3" t="n">
        <v>46162</v>
      </c>
      <c r="B110" t="inlineStr">
        <is>
          <t>Ferretería El Tornillo</t>
        </is>
      </c>
      <c r="C110" t="inlineStr">
        <is>
          <t>Tomás Gil</t>
        </is>
      </c>
      <c r="D110" t="inlineStr">
        <is>
          <t>LIM-020</t>
        </is>
      </c>
      <c r="E110" t="n">
        <v>60</v>
      </c>
      <c r="F110" s="4" t="n">
        <v>3100</v>
      </c>
      <c r="G110" s="5" t="n">
        <v>0.1</v>
      </c>
      <c r="H110" s="4" t="n">
        <v>167400</v>
      </c>
      <c r="I110" s="3" t="n">
        <v>46203</v>
      </c>
      <c r="J110" t="inlineStr">
        <is>
          <t>Sí</t>
        </is>
      </c>
      <c r="K110">
        <f>IF(J110="Sí","Cobrado",IF(I110&lt;Dashboard!$B$1,"Vencido","Al día"))</f>
        <v/>
      </c>
    </row>
    <row r="111">
      <c r="A111" s="3" t="n">
        <v>46163</v>
      </c>
      <c r="B111" t="inlineStr">
        <is>
          <t>Colegio Nuevo Horizonte</t>
        </is>
      </c>
      <c r="C111" t="inlineStr">
        <is>
          <t>Carla Ruiz</t>
        </is>
      </c>
      <c r="D111" t="inlineStr">
        <is>
          <t>PAP-200</t>
        </is>
      </c>
      <c r="E111" t="n">
        <v>15</v>
      </c>
      <c r="F111" s="4" t="n">
        <v>4500</v>
      </c>
      <c r="G111" s="5" t="n">
        <v>0.05</v>
      </c>
      <c r="H111" s="4" t="n">
        <v>64125</v>
      </c>
      <c r="I111" s="3" t="n">
        <v>46203</v>
      </c>
      <c r="J111" t="inlineStr">
        <is>
          <t>Sí</t>
        </is>
      </c>
      <c r="K111">
        <f>IF(J111="Sí","Cobrado",IF(I111&lt;Dashboard!$B$1,"Vencido","Al día"))</f>
        <v/>
      </c>
    </row>
    <row r="112">
      <c r="A112" s="3" t="n">
        <v>46163</v>
      </c>
      <c r="B112" t="inlineStr">
        <is>
          <t>Colegio Nuevo Horizonte</t>
        </is>
      </c>
      <c r="C112" t="inlineStr">
        <is>
          <t>Diego Paz</t>
        </is>
      </c>
      <c r="D112" t="inlineStr">
        <is>
          <t>PAP-220</t>
        </is>
      </c>
      <c r="E112" t="n">
        <v>60</v>
      </c>
      <c r="F112" s="4" t="n">
        <v>3900</v>
      </c>
      <c r="G112" s="5" t="n">
        <v>0.1</v>
      </c>
      <c r="H112" s="4" t="n">
        <v>210600</v>
      </c>
      <c r="I112" s="3" t="n">
        <v>46203</v>
      </c>
      <c r="J112" t="inlineStr">
        <is>
          <t>Sí</t>
        </is>
      </c>
      <c r="K112">
        <f>IF(J112="Sí","Cobrado",IF(I112&lt;Dashboard!$B$1,"Vencido","Al día"))</f>
        <v/>
      </c>
    </row>
    <row r="113">
      <c r="A113" s="3" t="n">
        <v>46164</v>
      </c>
      <c r="B113" t="inlineStr">
        <is>
          <t>Ferretería El Tornillo</t>
        </is>
      </c>
      <c r="C113" t="inlineStr">
        <is>
          <t>Carla Ruiz</t>
        </is>
      </c>
      <c r="D113" t="inlineStr">
        <is>
          <t>PAP-220</t>
        </is>
      </c>
      <c r="E113" t="n">
        <v>15</v>
      </c>
      <c r="F113" s="4" t="n">
        <v>3900</v>
      </c>
      <c r="G113" s="5" t="n">
        <v>0.05</v>
      </c>
      <c r="H113" s="4" t="n">
        <v>55575</v>
      </c>
      <c r="I113" s="3" t="n">
        <v>46203</v>
      </c>
      <c r="J113" t="inlineStr">
        <is>
          <t>Sí</t>
        </is>
      </c>
      <c r="K113">
        <f>IF(J113="Sí","Cobrado",IF(I113&lt;Dashboard!$B$1,"Vencido","Al día"))</f>
        <v/>
      </c>
    </row>
    <row r="114">
      <c r="A114" s="3" t="n">
        <v>46167</v>
      </c>
      <c r="B114" t="inlineStr">
        <is>
          <t>Hotel Mirador</t>
        </is>
      </c>
      <c r="C114" t="inlineStr">
        <is>
          <t>Diego Paz</t>
        </is>
      </c>
      <c r="D114" t="inlineStr">
        <is>
          <t>PAP-210</t>
        </is>
      </c>
      <c r="E114" t="n">
        <v>50</v>
      </c>
      <c r="F114" s="4" t="n">
        <v>6200</v>
      </c>
      <c r="G114" s="5" t="n">
        <v>0.1</v>
      </c>
      <c r="H114" s="4" t="n">
        <v>279000</v>
      </c>
      <c r="I114" s="3" t="n">
        <v>46203</v>
      </c>
      <c r="J114" t="inlineStr">
        <is>
          <t>Sí</t>
        </is>
      </c>
      <c r="K114">
        <f>IF(J114="Sí","Cobrado",IF(I114&lt;Dashboard!$B$1,"Vencido","Al día"))</f>
        <v/>
      </c>
    </row>
    <row r="115">
      <c r="A115" s="3" t="n">
        <v>46168</v>
      </c>
      <c r="B115" t="inlineStr">
        <is>
          <t>Hotel Mirador</t>
        </is>
      </c>
      <c r="C115" t="inlineStr">
        <is>
          <t>Diego Paz</t>
        </is>
      </c>
      <c r="D115" t="inlineStr">
        <is>
          <t>LIM-020</t>
        </is>
      </c>
      <c r="E115" t="n">
        <v>120</v>
      </c>
      <c r="F115" s="4" t="n">
        <v>3100</v>
      </c>
      <c r="G115" s="5" t="n">
        <v>0.1</v>
      </c>
      <c r="H115" s="4" t="n">
        <v>334800</v>
      </c>
      <c r="I115" s="3" t="n">
        <v>46203</v>
      </c>
      <c r="J115" t="inlineStr">
        <is>
          <t>Sí</t>
        </is>
      </c>
      <c r="K115">
        <f>IF(J115="Sí","Cobrado",IF(I115&lt;Dashboard!$B$1,"Vencido","Al día"))</f>
        <v/>
      </c>
    </row>
    <row r="116">
      <c r="A116" s="3" t="n">
        <v>46168</v>
      </c>
      <c r="B116" t="inlineStr">
        <is>
          <t>Librería San Martín Srl</t>
        </is>
      </c>
      <c r="C116" t="inlineStr">
        <is>
          <t>Carla Ruiz</t>
        </is>
      </c>
      <c r="D116" t="inlineStr">
        <is>
          <t>PAP-210</t>
        </is>
      </c>
      <c r="E116" t="n">
        <v>60</v>
      </c>
      <c r="F116" s="4" t="n">
        <v>6200</v>
      </c>
      <c r="G116" s="5" t="n">
        <v>0.1</v>
      </c>
      <c r="H116" s="4" t="n">
        <v>334800</v>
      </c>
      <c r="I116" s="3" t="n">
        <v>46203</v>
      </c>
      <c r="J116" t="inlineStr">
        <is>
          <t>Sí</t>
        </is>
      </c>
      <c r="K116">
        <f>IF(J116="Sí","Cobrado",IF(I116&lt;Dashboard!$B$1,"Vencido","Al día"))</f>
        <v/>
      </c>
    </row>
    <row r="117">
      <c r="A117" s="3" t="n">
        <v>46169</v>
      </c>
      <c r="B117" t="inlineStr">
        <is>
          <t>Kiosco La Esquina</t>
        </is>
      </c>
      <c r="C117" t="inlineStr">
        <is>
          <t>Carla Ruiz</t>
        </is>
      </c>
      <c r="D117" t="inlineStr">
        <is>
          <t>PAP-220</t>
        </is>
      </c>
      <c r="E117" t="n">
        <v>12</v>
      </c>
      <c r="F117" s="4" t="n">
        <v>3900</v>
      </c>
      <c r="G117" s="5" t="n">
        <v>0.05</v>
      </c>
      <c r="H117" s="4" t="n">
        <v>44460</v>
      </c>
      <c r="I117" s="3" t="n">
        <v>46203</v>
      </c>
      <c r="J117" t="inlineStr">
        <is>
          <t>Sí</t>
        </is>
      </c>
      <c r="K117">
        <f>IF(J117="Sí","Cobrado",IF(I117&lt;Dashboard!$B$1,"Vencido","Al día"))</f>
        <v/>
      </c>
    </row>
    <row r="118">
      <c r="A118" s="3" t="n">
        <v>46171</v>
      </c>
      <c r="B118" t="inlineStr">
        <is>
          <t>Kiosco La Esquina</t>
        </is>
      </c>
      <c r="C118" t="inlineStr">
        <is>
          <t>Tomás Gil</t>
        </is>
      </c>
      <c r="D118" t="inlineStr">
        <is>
          <t>LIM-030</t>
        </is>
      </c>
      <c r="E118" t="n">
        <v>30</v>
      </c>
      <c r="F118" s="4" t="n">
        <v>1150</v>
      </c>
      <c r="G118" s="5" t="n">
        <v>0</v>
      </c>
      <c r="H118" s="4" t="n">
        <v>34500</v>
      </c>
      <c r="I118" s="3" t="n">
        <v>46203</v>
      </c>
      <c r="J118" t="inlineStr">
        <is>
          <t>Sí</t>
        </is>
      </c>
      <c r="K118">
        <f>IF(J118="Sí","Cobrado",IF(I118&lt;Dashboard!$B$1,"Vencido","Al día"))</f>
        <v/>
      </c>
    </row>
    <row r="119">
      <c r="A119" s="3" t="n">
        <v>46174</v>
      </c>
      <c r="B119" t="inlineStr">
        <is>
          <t>Hotel Mirador</t>
        </is>
      </c>
      <c r="C119" t="inlineStr">
        <is>
          <t>Diego Paz</t>
        </is>
      </c>
      <c r="D119" t="inlineStr">
        <is>
          <t>PAP-210</t>
        </is>
      </c>
      <c r="E119" t="n">
        <v>10</v>
      </c>
      <c r="F119" s="4" t="n">
        <v>6200</v>
      </c>
      <c r="G119" s="5" t="n">
        <v>0.05</v>
      </c>
      <c r="H119" s="4" t="n">
        <v>58900</v>
      </c>
      <c r="I119" s="3" t="n">
        <v>46234</v>
      </c>
      <c r="J119" t="inlineStr">
        <is>
          <t>Sí</t>
        </is>
      </c>
      <c r="K119">
        <f>IF(J119="Sí","Cobrado",IF(I119&lt;Dashboard!$B$1,"Vencido","Al día"))</f>
        <v/>
      </c>
    </row>
    <row r="120">
      <c r="A120" s="3" t="n">
        <v>46176</v>
      </c>
      <c r="B120" t="inlineStr">
        <is>
          <t>Hotel Mirador</t>
        </is>
      </c>
      <c r="C120" t="inlineStr">
        <is>
          <t>Tomás Gil</t>
        </is>
      </c>
      <c r="D120" t="inlineStr">
        <is>
          <t>LIM-030</t>
        </is>
      </c>
      <c r="E120" t="n">
        <v>60</v>
      </c>
      <c r="F120" s="4" t="n">
        <v>1150</v>
      </c>
      <c r="G120" s="5" t="n">
        <v>0.05</v>
      </c>
      <c r="H120" s="4" t="n">
        <v>65550</v>
      </c>
      <c r="I120" s="3" t="n">
        <v>46234</v>
      </c>
      <c r="J120" t="inlineStr">
        <is>
          <t>Sí</t>
        </is>
      </c>
      <c r="K120">
        <f>IF(J120="Sí","Cobrado",IF(I120&lt;Dashboard!$B$1,"Vencido","Al día"))</f>
        <v/>
      </c>
    </row>
    <row r="121">
      <c r="A121" s="3" t="n">
        <v>46176</v>
      </c>
      <c r="B121" t="inlineStr">
        <is>
          <t>Hotel Mirador</t>
        </is>
      </c>
      <c r="C121" t="inlineStr">
        <is>
          <t>Carla Ruiz</t>
        </is>
      </c>
      <c r="D121" t="inlineStr">
        <is>
          <t>PAP-200</t>
        </is>
      </c>
      <c r="E121" t="n">
        <v>12</v>
      </c>
      <c r="F121" s="4" t="n">
        <v>4500</v>
      </c>
      <c r="G121" s="5" t="n">
        <v>0.05</v>
      </c>
      <c r="H121" s="4" t="n">
        <v>51300</v>
      </c>
      <c r="I121" s="3" t="n">
        <v>46234</v>
      </c>
      <c r="J121" t="inlineStr">
        <is>
          <t>Sí</t>
        </is>
      </c>
      <c r="K121">
        <f>IF(J121="Sí","Cobrado",IF(I121&lt;Dashboard!$B$1,"Vencido","Al día"))</f>
        <v/>
      </c>
    </row>
    <row r="122">
      <c r="A122" s="3" t="n">
        <v>46178</v>
      </c>
      <c r="B122" t="inlineStr">
        <is>
          <t>Kiosco La Esquina</t>
        </is>
      </c>
      <c r="C122" t="inlineStr">
        <is>
          <t>Tomás Gil</t>
        </is>
      </c>
      <c r="D122" t="inlineStr">
        <is>
          <t>PAP-200</t>
        </is>
      </c>
      <c r="E122" t="n">
        <v>40</v>
      </c>
      <c r="F122" s="4" t="n">
        <v>4500</v>
      </c>
      <c r="G122" s="5" t="n">
        <v>0.1</v>
      </c>
      <c r="H122" s="4" t="n">
        <v>162000</v>
      </c>
      <c r="I122" s="3" t="n">
        <v>46234</v>
      </c>
      <c r="J122" t="inlineStr">
        <is>
          <t>Sí</t>
        </is>
      </c>
      <c r="K122">
        <f>IF(J122="Sí","Cobrado",IF(I122&lt;Dashboard!$B$1,"Vencido","Al día"))</f>
        <v/>
      </c>
    </row>
    <row r="123">
      <c r="A123" s="3" t="n">
        <v>46181</v>
      </c>
      <c r="B123" t="inlineStr">
        <is>
          <t>Hotel Mirador</t>
        </is>
      </c>
      <c r="C123" t="inlineStr">
        <is>
          <t>Carla Ruiz</t>
        </is>
      </c>
      <c r="D123" t="inlineStr">
        <is>
          <t>LIM-040</t>
        </is>
      </c>
      <c r="E123" t="n">
        <v>12</v>
      </c>
      <c r="F123" s="4" t="n">
        <v>9800</v>
      </c>
      <c r="G123" s="5" t="n">
        <v>0.1</v>
      </c>
      <c r="H123" s="4" t="n">
        <v>105840</v>
      </c>
      <c r="I123" s="3" t="n">
        <v>46234</v>
      </c>
      <c r="J123" t="inlineStr">
        <is>
          <t>Sí</t>
        </is>
      </c>
      <c r="K123">
        <f>IF(J123="Sí","Cobrado",IF(I123&lt;Dashboard!$B$1,"Vencido","Al día"))</f>
        <v/>
      </c>
    </row>
    <row r="124">
      <c r="A124" s="3" t="n">
        <v>46181</v>
      </c>
      <c r="B124" t="inlineStr">
        <is>
          <t>Librería San Martín Srl</t>
        </is>
      </c>
      <c r="C124" t="inlineStr">
        <is>
          <t>Diego Paz</t>
        </is>
      </c>
      <c r="D124" t="inlineStr">
        <is>
          <t>LIM-030</t>
        </is>
      </c>
      <c r="E124" t="n">
        <v>80</v>
      </c>
      <c r="F124" s="4" t="n">
        <v>1150</v>
      </c>
      <c r="G124" s="5" t="n">
        <v>0.05</v>
      </c>
      <c r="H124" s="4" t="n">
        <v>87400</v>
      </c>
      <c r="I124" s="3" t="n">
        <v>46234</v>
      </c>
      <c r="J124" t="inlineStr">
        <is>
          <t>Sí</t>
        </is>
      </c>
      <c r="K124">
        <f>IF(J124="Sí","Cobrado",IF(I124&lt;Dashboard!$B$1,"Vencido","Al día"))</f>
        <v/>
      </c>
    </row>
    <row r="125">
      <c r="A125" s="3" t="n">
        <v>46182</v>
      </c>
      <c r="B125" t="inlineStr">
        <is>
          <t>Librería San Martín Srl</t>
        </is>
      </c>
      <c r="C125" t="inlineStr">
        <is>
          <t>Tomás Gil</t>
        </is>
      </c>
      <c r="D125" t="inlineStr">
        <is>
          <t>LIM-020</t>
        </is>
      </c>
      <c r="E125" t="n">
        <v>12</v>
      </c>
      <c r="F125" s="4" t="n">
        <v>3100</v>
      </c>
      <c r="G125" s="5" t="n">
        <v>0</v>
      </c>
      <c r="H125" s="4" t="n">
        <v>37200</v>
      </c>
      <c r="I125" s="3" t="n">
        <v>46234</v>
      </c>
      <c r="J125" t="inlineStr">
        <is>
          <t>Sí</t>
        </is>
      </c>
      <c r="K125">
        <f>IF(J125="Sí","Cobrado",IF(I125&lt;Dashboard!$B$1,"Vencido","Al día"))</f>
        <v/>
      </c>
    </row>
    <row r="126">
      <c r="A126" s="3" t="n">
        <v>46183</v>
      </c>
      <c r="B126" t="inlineStr">
        <is>
          <t>Kiosco La Esquina</t>
        </is>
      </c>
      <c r="C126" t="inlineStr">
        <is>
          <t>Tomás Gil</t>
        </is>
      </c>
      <c r="D126" t="inlineStr">
        <is>
          <t>LIM-020</t>
        </is>
      </c>
      <c r="E126" t="n">
        <v>120</v>
      </c>
      <c r="F126" s="4" t="n">
        <v>3100</v>
      </c>
      <c r="G126" s="5" t="n">
        <v>0.1</v>
      </c>
      <c r="H126" s="4" t="n">
        <v>334800</v>
      </c>
      <c r="I126" s="3" t="n">
        <v>46234</v>
      </c>
      <c r="J126" t="inlineStr">
        <is>
          <t>Sí</t>
        </is>
      </c>
      <c r="K126">
        <f>IF(J126="Sí","Cobrado",IF(I126&lt;Dashboard!$B$1,"Vencido","Al día"))</f>
        <v/>
      </c>
    </row>
    <row r="127">
      <c r="A127" s="3" t="n">
        <v>46184</v>
      </c>
      <c r="B127" t="inlineStr">
        <is>
          <t>Ferretería El Tornillo</t>
        </is>
      </c>
      <c r="C127" t="inlineStr">
        <is>
          <t>Tomás Gil</t>
        </is>
      </c>
      <c r="D127" t="inlineStr">
        <is>
          <t>PAP-210</t>
        </is>
      </c>
      <c r="E127" t="n">
        <v>40</v>
      </c>
      <c r="F127" s="4" t="n">
        <v>6200</v>
      </c>
      <c r="G127" s="5" t="n">
        <v>0.1</v>
      </c>
      <c r="H127" s="4" t="n">
        <v>223200</v>
      </c>
      <c r="I127" s="3" t="n">
        <v>46234</v>
      </c>
      <c r="J127" t="inlineStr">
        <is>
          <t>Sí</t>
        </is>
      </c>
      <c r="K127">
        <f>IF(J127="Sí","Cobrado",IF(I127&lt;Dashboard!$B$1,"Vencido","Al día"))</f>
        <v/>
      </c>
    </row>
    <row r="128">
      <c r="A128" s="3" t="n">
        <v>46185</v>
      </c>
      <c r="B128" t="inlineStr">
        <is>
          <t>Colegio Nuevo Horizonte</t>
        </is>
      </c>
      <c r="C128" t="inlineStr">
        <is>
          <t>Tomás Gil</t>
        </is>
      </c>
      <c r="D128" t="inlineStr">
        <is>
          <t>LIM-040</t>
        </is>
      </c>
      <c r="E128" t="n">
        <v>20</v>
      </c>
      <c r="F128" s="4" t="n">
        <v>9800</v>
      </c>
      <c r="G128" s="5" t="n">
        <v>0.1</v>
      </c>
      <c r="H128" s="4" t="n">
        <v>176400</v>
      </c>
      <c r="I128" s="3" t="n">
        <v>46234</v>
      </c>
      <c r="J128" t="inlineStr">
        <is>
          <t>Sí</t>
        </is>
      </c>
      <c r="K128">
        <f>IF(J128="Sí","Cobrado",IF(I128&lt;Dashboard!$B$1,"Vencido","Al día"))</f>
        <v/>
      </c>
    </row>
    <row r="129">
      <c r="A129" s="3" t="n">
        <v>46185</v>
      </c>
      <c r="B129" t="inlineStr">
        <is>
          <t>Librería San Martín Srl</t>
        </is>
      </c>
      <c r="C129" t="inlineStr">
        <is>
          <t>Carla Ruiz</t>
        </is>
      </c>
      <c r="D129" t="inlineStr">
        <is>
          <t>LIM-040</t>
        </is>
      </c>
      <c r="E129" t="n">
        <v>20</v>
      </c>
      <c r="F129" s="4" t="n">
        <v>9800</v>
      </c>
      <c r="G129" s="5" t="n">
        <v>0.1</v>
      </c>
      <c r="H129" s="4" t="n">
        <v>176400</v>
      </c>
      <c r="I129" s="3" t="n">
        <v>46234</v>
      </c>
      <c r="J129" t="inlineStr">
        <is>
          <t>Sí</t>
        </is>
      </c>
      <c r="K129">
        <f>IF(J129="Sí","Cobrado",IF(I129&lt;Dashboard!$B$1,"Vencido","Al día"))</f>
        <v/>
      </c>
    </row>
    <row r="130">
      <c r="A130" s="3" t="n">
        <v>46188</v>
      </c>
      <c r="B130" t="inlineStr">
        <is>
          <t>Colegio Nuevo Horizonte</t>
        </is>
      </c>
      <c r="C130" t="inlineStr">
        <is>
          <t>Diego Paz</t>
        </is>
      </c>
      <c r="D130" t="inlineStr">
        <is>
          <t>LIM-040</t>
        </is>
      </c>
      <c r="E130" t="n">
        <v>15</v>
      </c>
      <c r="F130" s="4" t="n">
        <v>9800</v>
      </c>
      <c r="G130" s="5" t="n">
        <v>0.1</v>
      </c>
      <c r="H130" s="4" t="n">
        <v>132300</v>
      </c>
      <c r="I130" s="3" t="n">
        <v>46234</v>
      </c>
      <c r="J130" t="inlineStr">
        <is>
          <t>Sí</t>
        </is>
      </c>
      <c r="K130">
        <f>IF(J130="Sí","Cobrado",IF(I130&lt;Dashboard!$B$1,"Vencido","Al día"))</f>
        <v/>
      </c>
    </row>
    <row r="131">
      <c r="A131" s="3" t="n">
        <v>46188</v>
      </c>
      <c r="B131" t="inlineStr">
        <is>
          <t>Librería San Martín Srl</t>
        </is>
      </c>
      <c r="C131" t="inlineStr">
        <is>
          <t>Tomás Gil</t>
        </is>
      </c>
      <c r="D131" t="inlineStr">
        <is>
          <t>LIM-010</t>
        </is>
      </c>
      <c r="E131" t="n">
        <v>50</v>
      </c>
      <c r="F131" s="4" t="n">
        <v>2400</v>
      </c>
      <c r="G131" s="5" t="n">
        <v>0.1</v>
      </c>
      <c r="H131" s="4" t="n">
        <v>108000</v>
      </c>
      <c r="I131" s="3" t="n">
        <v>46234</v>
      </c>
      <c r="J131" t="inlineStr">
        <is>
          <t>Sí</t>
        </is>
      </c>
      <c r="K131">
        <f>IF(J131="Sí","Cobrado",IF(I131&lt;Dashboard!$B$1,"Vencido","Al día"))</f>
        <v/>
      </c>
    </row>
    <row r="132">
      <c r="A132" s="3" t="n">
        <v>46189</v>
      </c>
      <c r="B132" t="inlineStr">
        <is>
          <t>Ferretería El Tornillo</t>
        </is>
      </c>
      <c r="C132" t="inlineStr">
        <is>
          <t>Diego Paz</t>
        </is>
      </c>
      <c r="D132" t="inlineStr">
        <is>
          <t>LIM-010</t>
        </is>
      </c>
      <c r="E132" t="n">
        <v>50</v>
      </c>
      <c r="F132" s="4" t="n">
        <v>2400</v>
      </c>
      <c r="G132" s="5" t="n">
        <v>0.1</v>
      </c>
      <c r="H132" s="4" t="n">
        <v>108000</v>
      </c>
      <c r="I132" s="3" t="n">
        <v>46234</v>
      </c>
      <c r="J132" t="inlineStr">
        <is>
          <t>Sí</t>
        </is>
      </c>
      <c r="K132">
        <f>IF(J132="Sí","Cobrado",IF(I132&lt;Dashboard!$B$1,"Vencido","Al día"))</f>
        <v/>
      </c>
    </row>
    <row r="133">
      <c r="A133" s="3" t="n">
        <v>46190</v>
      </c>
      <c r="B133" t="inlineStr">
        <is>
          <t>Hotel Mirador</t>
        </is>
      </c>
      <c r="C133" t="inlineStr">
        <is>
          <t>Diego Paz</t>
        </is>
      </c>
      <c r="D133" t="inlineStr">
        <is>
          <t>PAP-210</t>
        </is>
      </c>
      <c r="E133" t="n">
        <v>50</v>
      </c>
      <c r="F133" s="4" t="n">
        <v>6200</v>
      </c>
      <c r="G133" s="5" t="n">
        <v>0.1</v>
      </c>
      <c r="H133" s="4" t="n">
        <v>279000</v>
      </c>
      <c r="I133" s="3" t="n">
        <v>46234</v>
      </c>
      <c r="J133" t="inlineStr">
        <is>
          <t>Sí</t>
        </is>
      </c>
      <c r="K133">
        <f>IF(J133="Sí","Cobrado",IF(I133&lt;Dashboard!$B$1,"Vencido","Al día"))</f>
        <v/>
      </c>
    </row>
    <row r="134">
      <c r="A134" s="3" t="n">
        <v>46191</v>
      </c>
      <c r="B134" t="inlineStr">
        <is>
          <t>Hotel Mirador</t>
        </is>
      </c>
      <c r="C134" t="inlineStr">
        <is>
          <t>Diego Paz</t>
        </is>
      </c>
      <c r="D134" t="inlineStr">
        <is>
          <t>LIM-040</t>
        </is>
      </c>
      <c r="E134" t="n">
        <v>50</v>
      </c>
      <c r="F134" s="4" t="n">
        <v>9800</v>
      </c>
      <c r="G134" s="5" t="n">
        <v>0.1</v>
      </c>
      <c r="H134" s="4" t="n">
        <v>441000</v>
      </c>
      <c r="I134" s="3" t="n">
        <v>46234</v>
      </c>
      <c r="J134" t="inlineStr">
        <is>
          <t>Sí</t>
        </is>
      </c>
      <c r="K134">
        <f>IF(J134="Sí","Cobrado",IF(I134&lt;Dashboard!$B$1,"Vencido","Al día"))</f>
        <v/>
      </c>
    </row>
    <row r="135">
      <c r="A135" s="3" t="n">
        <v>46192</v>
      </c>
      <c r="B135" t="inlineStr">
        <is>
          <t>Ferretería El Tornillo</t>
        </is>
      </c>
      <c r="C135" t="inlineStr">
        <is>
          <t>Diego Paz</t>
        </is>
      </c>
      <c r="D135" t="inlineStr">
        <is>
          <t>LIM-040</t>
        </is>
      </c>
      <c r="E135" t="n">
        <v>40</v>
      </c>
      <c r="F135" s="4" t="n">
        <v>9800</v>
      </c>
      <c r="G135" s="5" t="n">
        <v>0.1</v>
      </c>
      <c r="H135" s="4" t="n">
        <v>352800</v>
      </c>
      <c r="I135" s="3" t="n">
        <v>46234</v>
      </c>
      <c r="J135" t="inlineStr">
        <is>
          <t>Sí</t>
        </is>
      </c>
      <c r="K135">
        <f>IF(J135="Sí","Cobrado",IF(I135&lt;Dashboard!$B$1,"Vencido","Al día"))</f>
        <v/>
      </c>
    </row>
    <row r="136">
      <c r="A136" s="3" t="n">
        <v>46196</v>
      </c>
      <c r="B136" t="inlineStr">
        <is>
          <t>Kiosco La Esquina</t>
        </is>
      </c>
      <c r="C136" t="inlineStr">
        <is>
          <t>Diego Paz</t>
        </is>
      </c>
      <c r="D136" t="inlineStr">
        <is>
          <t>PAP-200</t>
        </is>
      </c>
      <c r="E136" t="n">
        <v>120</v>
      </c>
      <c r="F136" s="4" t="n">
        <v>4500</v>
      </c>
      <c r="G136" s="5" t="n">
        <v>0.1</v>
      </c>
      <c r="H136" s="4" t="n">
        <v>486000</v>
      </c>
      <c r="I136" s="3" t="n">
        <v>46234</v>
      </c>
      <c r="J136" t="inlineStr">
        <is>
          <t>Sí</t>
        </is>
      </c>
      <c r="K136">
        <f>IF(J136="Sí","Cobrado",IF(I136&lt;Dashboard!$B$1,"Vencido","Al día"))</f>
        <v/>
      </c>
    </row>
    <row r="137">
      <c r="A137" s="3" t="n">
        <v>46196</v>
      </c>
      <c r="B137" t="inlineStr">
        <is>
          <t>Kiosco La Esquina</t>
        </is>
      </c>
      <c r="C137" t="inlineStr">
        <is>
          <t>Diego Paz</t>
        </is>
      </c>
      <c r="D137" t="inlineStr">
        <is>
          <t>LIM-030</t>
        </is>
      </c>
      <c r="E137" t="n">
        <v>40</v>
      </c>
      <c r="F137" s="4" t="n">
        <v>1150</v>
      </c>
      <c r="G137" s="5" t="n">
        <v>0.05</v>
      </c>
      <c r="H137" s="4" t="n">
        <v>43700</v>
      </c>
      <c r="I137" s="3" t="n">
        <v>46234</v>
      </c>
      <c r="J137" t="inlineStr">
        <is>
          <t>Sí</t>
        </is>
      </c>
      <c r="K137">
        <f>IF(J137="Sí","Cobrado",IF(I137&lt;Dashboard!$B$1,"Vencido","Al día"))</f>
        <v/>
      </c>
    </row>
    <row r="138">
      <c r="A138" s="3" t="n">
        <v>46197</v>
      </c>
      <c r="B138" t="inlineStr">
        <is>
          <t>Colegio Nuevo Horizonte</t>
        </is>
      </c>
      <c r="C138" t="inlineStr">
        <is>
          <t>Diego Paz</t>
        </is>
      </c>
      <c r="D138" t="inlineStr">
        <is>
          <t>PAP-220</t>
        </is>
      </c>
      <c r="E138" t="n">
        <v>30</v>
      </c>
      <c r="F138" s="4" t="n">
        <v>3900</v>
      </c>
      <c r="G138" s="5" t="n">
        <v>0.1</v>
      </c>
      <c r="H138" s="4" t="n">
        <v>105300</v>
      </c>
      <c r="I138" s="3" t="n">
        <v>46234</v>
      </c>
      <c r="J138" t="inlineStr">
        <is>
          <t>Sí</t>
        </is>
      </c>
      <c r="K138">
        <f>IF(J138="Sí","Cobrado",IF(I138&lt;Dashboard!$B$1,"Vencido","Al día"))</f>
        <v/>
      </c>
    </row>
    <row r="139">
      <c r="A139" s="3" t="n">
        <v>46198</v>
      </c>
      <c r="B139" t="inlineStr">
        <is>
          <t>Kiosco La Esquina</t>
        </is>
      </c>
      <c r="C139" t="inlineStr">
        <is>
          <t>Tomás Gil</t>
        </is>
      </c>
      <c r="D139" t="inlineStr">
        <is>
          <t>PAP-200</t>
        </is>
      </c>
      <c r="E139" t="n">
        <v>40</v>
      </c>
      <c r="F139" s="4" t="n">
        <v>4500</v>
      </c>
      <c r="G139" s="5" t="n">
        <v>0.1</v>
      </c>
      <c r="H139" s="4" t="n">
        <v>162000</v>
      </c>
      <c r="I139" s="3" t="n">
        <v>46234</v>
      </c>
      <c r="J139" t="inlineStr">
        <is>
          <t>Sí</t>
        </is>
      </c>
      <c r="K139">
        <f>IF(J139="Sí","Cobrado",IF(I139&lt;Dashboard!$B$1,"Vencido","Al día"))</f>
        <v/>
      </c>
    </row>
    <row r="140">
      <c r="A140" s="3" t="n">
        <v>46199</v>
      </c>
      <c r="B140" t="inlineStr">
        <is>
          <t>Hotel Mirador</t>
        </is>
      </c>
      <c r="C140" t="inlineStr">
        <is>
          <t>Diego Paz</t>
        </is>
      </c>
      <c r="D140" t="inlineStr">
        <is>
          <t>PAP-210</t>
        </is>
      </c>
      <c r="E140" t="n">
        <v>40</v>
      </c>
      <c r="F140" s="4" t="n">
        <v>6200</v>
      </c>
      <c r="G140" s="5" t="n">
        <v>0.1</v>
      </c>
      <c r="H140" s="4" t="n">
        <v>223200</v>
      </c>
      <c r="I140" s="3" t="n">
        <v>46234</v>
      </c>
      <c r="J140" t="inlineStr">
        <is>
          <t>Sí</t>
        </is>
      </c>
      <c r="K140">
        <f>IF(J140="Sí","Cobrado",IF(I140&lt;Dashboard!$B$1,"Vencido","Al día"))</f>
        <v/>
      </c>
    </row>
    <row r="141">
      <c r="A141" s="3" t="n">
        <v>46199</v>
      </c>
      <c r="B141" t="inlineStr">
        <is>
          <t>Librería San Martín Srl</t>
        </is>
      </c>
      <c r="C141" t="inlineStr">
        <is>
          <t>Tomás Gil</t>
        </is>
      </c>
      <c r="D141" t="inlineStr">
        <is>
          <t>LIM-010</t>
        </is>
      </c>
      <c r="E141" t="n">
        <v>120</v>
      </c>
      <c r="F141" s="4" t="n">
        <v>2400</v>
      </c>
      <c r="G141" s="5" t="n">
        <v>0.1</v>
      </c>
      <c r="H141" s="4" t="n">
        <v>259200</v>
      </c>
      <c r="I141" s="3" t="n">
        <v>46234</v>
      </c>
      <c r="J141" t="inlineStr">
        <is>
          <t>Sí</t>
        </is>
      </c>
      <c r="K141">
        <f>IF(J141="Sí","Cobrado",IF(I141&lt;Dashboard!$B$1,"Vencido","Al día"))</f>
        <v/>
      </c>
    </row>
    <row r="142">
      <c r="A142" s="3" t="n">
        <v>46202</v>
      </c>
      <c r="B142" t="inlineStr">
        <is>
          <t>Kiosco La Esquina</t>
        </is>
      </c>
      <c r="C142" t="inlineStr">
        <is>
          <t>Tomás Gil</t>
        </is>
      </c>
      <c r="D142" t="inlineStr">
        <is>
          <t>LIM-020</t>
        </is>
      </c>
      <c r="E142" t="n">
        <v>30</v>
      </c>
      <c r="F142" s="4" t="n">
        <v>3100</v>
      </c>
      <c r="G142" s="5" t="n">
        <v>0.05</v>
      </c>
      <c r="H142" s="4" t="n">
        <v>88350</v>
      </c>
      <c r="I142" s="3" t="n">
        <v>46234</v>
      </c>
      <c r="J142" t="inlineStr">
        <is>
          <t>Sí</t>
        </is>
      </c>
      <c r="K142">
        <f>IF(J142="Sí","Cobrado",IF(I142&lt;Dashboard!$B$1,"Vencido","Al día"))</f>
        <v/>
      </c>
    </row>
    <row r="143">
      <c r="A143" s="3" t="n">
        <v>46204</v>
      </c>
      <c r="B143" t="inlineStr">
        <is>
          <t>Librería San Martín Srl</t>
        </is>
      </c>
      <c r="C143" t="inlineStr">
        <is>
          <t>Carla Ruiz</t>
        </is>
      </c>
      <c r="D143" t="inlineStr">
        <is>
          <t>PAP-210</t>
        </is>
      </c>
      <c r="E143" t="n">
        <v>120</v>
      </c>
      <c r="F143" s="4" t="n">
        <v>6200</v>
      </c>
      <c r="G143" s="5" t="n">
        <v>0.1</v>
      </c>
      <c r="H143" s="4" t="n">
        <v>669600</v>
      </c>
      <c r="I143" s="3" t="n">
        <v>46265</v>
      </c>
      <c r="J143" t="inlineStr">
        <is>
          <t>Sí</t>
        </is>
      </c>
      <c r="K143">
        <f>IF(J143="Sí","Cobrado",IF(I143&lt;Dashboard!$B$1,"Vencido","Al día"))</f>
        <v/>
      </c>
    </row>
    <row r="144">
      <c r="A144" s="3" t="n">
        <v>46205</v>
      </c>
      <c r="B144" t="inlineStr">
        <is>
          <t>Kiosco La Esquina</t>
        </is>
      </c>
      <c r="C144" t="inlineStr">
        <is>
          <t>Tomás Gil</t>
        </is>
      </c>
      <c r="D144" t="inlineStr">
        <is>
          <t>PAP-220</t>
        </is>
      </c>
      <c r="E144" t="n">
        <v>30</v>
      </c>
      <c r="F144" s="4" t="n">
        <v>3900</v>
      </c>
      <c r="G144" s="5" t="n">
        <v>0.1</v>
      </c>
      <c r="H144" s="4" t="n">
        <v>105300</v>
      </c>
      <c r="I144" s="3" t="n">
        <v>46265</v>
      </c>
      <c r="J144" t="inlineStr">
        <is>
          <t>Sí</t>
        </is>
      </c>
      <c r="K144">
        <f>IF(J144="Sí","Cobrado",IF(I144&lt;Dashboard!$B$1,"Vencido","Al día"))</f>
        <v/>
      </c>
    </row>
    <row r="145">
      <c r="A145" s="3" t="n">
        <v>46205</v>
      </c>
      <c r="B145" t="inlineStr">
        <is>
          <t>Librería San Martín Srl</t>
        </is>
      </c>
      <c r="C145" t="inlineStr">
        <is>
          <t>Carla Ruiz</t>
        </is>
      </c>
      <c r="D145" t="inlineStr">
        <is>
          <t>PAP-200</t>
        </is>
      </c>
      <c r="E145" t="n">
        <v>80</v>
      </c>
      <c r="F145" s="4" t="n">
        <v>4500</v>
      </c>
      <c r="G145" s="5" t="n">
        <v>0.1</v>
      </c>
      <c r="H145" s="4" t="n">
        <v>324000</v>
      </c>
      <c r="I145" s="3" t="n">
        <v>46265</v>
      </c>
      <c r="J145" t="inlineStr">
        <is>
          <t>Sí</t>
        </is>
      </c>
      <c r="K145">
        <f>IF(J145="Sí","Cobrado",IF(I145&lt;Dashboard!$B$1,"Vencido","Al día"))</f>
        <v/>
      </c>
    </row>
    <row r="146">
      <c r="A146" s="3" t="n">
        <v>46206</v>
      </c>
      <c r="B146" t="inlineStr">
        <is>
          <t>Hotel Mirador</t>
        </is>
      </c>
      <c r="C146" t="inlineStr">
        <is>
          <t>Diego Paz</t>
        </is>
      </c>
      <c r="D146" t="inlineStr">
        <is>
          <t>LIM-040</t>
        </is>
      </c>
      <c r="E146" t="n">
        <v>10</v>
      </c>
      <c r="F146" s="4" t="n">
        <v>9800</v>
      </c>
      <c r="G146" s="5" t="n">
        <v>0.05</v>
      </c>
      <c r="H146" s="4" t="n">
        <v>93100</v>
      </c>
      <c r="I146" s="3" t="n">
        <v>46265</v>
      </c>
      <c r="J146" t="inlineStr">
        <is>
          <t>Sí</t>
        </is>
      </c>
      <c r="K146">
        <f>IF(J146="Sí","Cobrado",IF(I146&lt;Dashboard!$B$1,"Vencido","Al día"))</f>
        <v/>
      </c>
    </row>
    <row r="147">
      <c r="A147" s="3" t="n">
        <v>46206</v>
      </c>
      <c r="B147" t="inlineStr">
        <is>
          <t>Ferretería El Tornillo</t>
        </is>
      </c>
      <c r="C147" t="inlineStr">
        <is>
          <t>Diego Paz</t>
        </is>
      </c>
      <c r="D147" t="inlineStr">
        <is>
          <t>LIM-040</t>
        </is>
      </c>
      <c r="E147" t="n">
        <v>120</v>
      </c>
      <c r="F147" s="4" t="n">
        <v>9800</v>
      </c>
      <c r="G147" s="5" t="n">
        <v>0.1</v>
      </c>
      <c r="H147" s="4" t="n">
        <v>1058400</v>
      </c>
      <c r="I147" s="3" t="n">
        <v>46265</v>
      </c>
      <c r="J147" t="inlineStr">
        <is>
          <t>Sí</t>
        </is>
      </c>
      <c r="K147">
        <f>IF(J147="Sí","Cobrado",IF(I147&lt;Dashboard!$B$1,"Vencido","Al día"))</f>
        <v/>
      </c>
    </row>
    <row r="148">
      <c r="A148" s="3" t="n">
        <v>46209</v>
      </c>
      <c r="B148" t="inlineStr">
        <is>
          <t>Colegio Nuevo Horizonte</t>
        </is>
      </c>
      <c r="C148" t="inlineStr">
        <is>
          <t>Carla Ruiz</t>
        </is>
      </c>
      <c r="D148" t="inlineStr">
        <is>
          <t>PAP-220</t>
        </is>
      </c>
      <c r="E148" t="n">
        <v>30</v>
      </c>
      <c r="F148" s="4" t="n">
        <v>3900</v>
      </c>
      <c r="G148" s="5" t="n">
        <v>0.1</v>
      </c>
      <c r="H148" s="4" t="n">
        <v>105300</v>
      </c>
      <c r="I148" s="3" t="n">
        <v>46265</v>
      </c>
      <c r="J148" t="inlineStr">
        <is>
          <t>Sí</t>
        </is>
      </c>
      <c r="K148">
        <f>IF(J148="Sí","Cobrado",IF(I148&lt;Dashboard!$B$1,"Vencido","Al día"))</f>
        <v/>
      </c>
    </row>
    <row r="149">
      <c r="A149" s="3" t="n">
        <v>46210</v>
      </c>
      <c r="B149" t="inlineStr">
        <is>
          <t>Kiosco La Esquina</t>
        </is>
      </c>
      <c r="C149" t="inlineStr">
        <is>
          <t>Carla Ruiz</t>
        </is>
      </c>
      <c r="D149" t="inlineStr">
        <is>
          <t>PAP-210</t>
        </is>
      </c>
      <c r="E149" t="n">
        <v>40</v>
      </c>
      <c r="F149" s="4" t="n">
        <v>6200</v>
      </c>
      <c r="G149" s="5" t="n">
        <v>0.1</v>
      </c>
      <c r="H149" s="4" t="n">
        <v>223200</v>
      </c>
      <c r="I149" s="3" t="n">
        <v>46265</v>
      </c>
      <c r="J149" t="inlineStr">
        <is>
          <t>Sí</t>
        </is>
      </c>
      <c r="K149">
        <f>IF(J149="Sí","Cobrado",IF(I149&lt;Dashboard!$B$1,"Vencido","Al día"))</f>
        <v/>
      </c>
    </row>
    <row r="150">
      <c r="A150" s="3" t="n">
        <v>46211</v>
      </c>
      <c r="B150" t="inlineStr">
        <is>
          <t>Kiosco La Esquina</t>
        </is>
      </c>
      <c r="C150" t="inlineStr">
        <is>
          <t>Diego Paz</t>
        </is>
      </c>
      <c r="D150" t="inlineStr">
        <is>
          <t>PAP-210</t>
        </is>
      </c>
      <c r="E150" t="n">
        <v>60</v>
      </c>
      <c r="F150" s="4" t="n">
        <v>6200</v>
      </c>
      <c r="G150" s="5" t="n">
        <v>0.1</v>
      </c>
      <c r="H150" s="4" t="n">
        <v>334800</v>
      </c>
      <c r="I150" s="3" t="n">
        <v>46265</v>
      </c>
      <c r="J150" t="inlineStr">
        <is>
          <t>Sí</t>
        </is>
      </c>
      <c r="K150">
        <f>IF(J150="Sí","Cobrado",IF(I150&lt;Dashboard!$B$1,"Vencido","Al día"))</f>
        <v/>
      </c>
    </row>
    <row r="151">
      <c r="A151" s="3" t="n">
        <v>46211</v>
      </c>
      <c r="B151" t="inlineStr">
        <is>
          <t>Librería San Martín Srl</t>
        </is>
      </c>
      <c r="C151" t="inlineStr">
        <is>
          <t>Carla Ruiz</t>
        </is>
      </c>
      <c r="D151" t="inlineStr">
        <is>
          <t>LIM-020</t>
        </is>
      </c>
      <c r="E151" t="n">
        <v>50</v>
      </c>
      <c r="F151" s="4" t="n">
        <v>3100</v>
      </c>
      <c r="G151" s="5" t="n">
        <v>0.1</v>
      </c>
      <c r="H151" s="4" t="n">
        <v>139500</v>
      </c>
      <c r="I151" s="3" t="n">
        <v>46265</v>
      </c>
      <c r="J151" t="inlineStr">
        <is>
          <t>Sí</t>
        </is>
      </c>
      <c r="K151">
        <f>IF(J151="Sí","Cobrado",IF(I151&lt;Dashboard!$B$1,"Vencido","Al día"))</f>
        <v/>
      </c>
    </row>
    <row r="152">
      <c r="A152" s="3" t="n">
        <v>46212</v>
      </c>
      <c r="B152" t="inlineStr">
        <is>
          <t>Hotel Mirador</t>
        </is>
      </c>
      <c r="C152" t="inlineStr">
        <is>
          <t>Carla Ruiz</t>
        </is>
      </c>
      <c r="D152" t="inlineStr">
        <is>
          <t>PAP-220</t>
        </is>
      </c>
      <c r="E152" t="n">
        <v>50</v>
      </c>
      <c r="F152" s="4" t="n">
        <v>3900</v>
      </c>
      <c r="G152" s="5" t="n">
        <v>0.1</v>
      </c>
      <c r="H152" s="4" t="n">
        <v>175500</v>
      </c>
      <c r="I152" s="3" t="n">
        <v>46265</v>
      </c>
      <c r="J152" t="inlineStr">
        <is>
          <t>Sí</t>
        </is>
      </c>
      <c r="K152">
        <f>IF(J152="Sí","Cobrado",IF(I152&lt;Dashboard!$B$1,"Vencido","Al día"))</f>
        <v/>
      </c>
    </row>
    <row r="153">
      <c r="A153" s="3" t="n">
        <v>46212</v>
      </c>
      <c r="B153" t="inlineStr">
        <is>
          <t>Kiosco La Esquina</t>
        </is>
      </c>
      <c r="C153" t="inlineStr">
        <is>
          <t>Carla Ruiz</t>
        </is>
      </c>
      <c r="D153" t="inlineStr">
        <is>
          <t>LIM-030</t>
        </is>
      </c>
      <c r="E153" t="n">
        <v>100</v>
      </c>
      <c r="F153" s="4" t="n">
        <v>1150</v>
      </c>
      <c r="G153" s="5" t="n">
        <v>0.1</v>
      </c>
      <c r="H153" s="4" t="n">
        <v>103500</v>
      </c>
      <c r="I153" s="3" t="n">
        <v>46265</v>
      </c>
      <c r="J153" t="inlineStr">
        <is>
          <t>Sí</t>
        </is>
      </c>
      <c r="K153">
        <f>IF(J153="Sí","Cobrado",IF(I153&lt;Dashboard!$B$1,"Vencido","Al día"))</f>
        <v/>
      </c>
    </row>
    <row r="154">
      <c r="A154" s="3" t="n">
        <v>46213</v>
      </c>
      <c r="B154" t="inlineStr">
        <is>
          <t>Colegio Nuevo Horizonte</t>
        </is>
      </c>
      <c r="C154" t="inlineStr">
        <is>
          <t>Carla Ruiz</t>
        </is>
      </c>
      <c r="D154" t="inlineStr">
        <is>
          <t>PAP-210</t>
        </is>
      </c>
      <c r="E154" t="n">
        <v>80</v>
      </c>
      <c r="F154" s="4" t="n">
        <v>6200</v>
      </c>
      <c r="G154" s="5" t="n">
        <v>0.1</v>
      </c>
      <c r="H154" s="4" t="n">
        <v>446400</v>
      </c>
      <c r="I154" s="3" t="n">
        <v>46265</v>
      </c>
      <c r="J154" t="inlineStr">
        <is>
          <t>Sí</t>
        </is>
      </c>
      <c r="K154">
        <f>IF(J154="Sí","Cobrado",IF(I154&lt;Dashboard!$B$1,"Vencido","Al día"))</f>
        <v/>
      </c>
    </row>
    <row r="155">
      <c r="A155" s="3" t="n">
        <v>46216</v>
      </c>
      <c r="B155" t="inlineStr">
        <is>
          <t>Ferretería El Tornillo</t>
        </is>
      </c>
      <c r="C155" t="inlineStr">
        <is>
          <t>Tomás Gil</t>
        </is>
      </c>
      <c r="D155" t="inlineStr">
        <is>
          <t>LIM-030</t>
        </is>
      </c>
      <c r="E155" t="n">
        <v>25</v>
      </c>
      <c r="F155" s="4" t="n">
        <v>1150</v>
      </c>
      <c r="G155" s="5" t="n">
        <v>0</v>
      </c>
      <c r="H155" s="4" t="n">
        <v>28750</v>
      </c>
      <c r="I155" s="3" t="n">
        <v>46265</v>
      </c>
      <c r="J155" t="inlineStr">
        <is>
          <t>Sí</t>
        </is>
      </c>
      <c r="K155">
        <f>IF(J155="Sí","Cobrado",IF(I155&lt;Dashboard!$B$1,"Vencido","Al día"))</f>
        <v/>
      </c>
    </row>
    <row r="156">
      <c r="A156" s="3" t="n">
        <v>46217</v>
      </c>
      <c r="B156" t="inlineStr">
        <is>
          <t>Librería San Martín Srl</t>
        </is>
      </c>
      <c r="C156" t="inlineStr">
        <is>
          <t>Tomás Gil</t>
        </is>
      </c>
      <c r="D156" t="inlineStr">
        <is>
          <t>PAP-210</t>
        </is>
      </c>
      <c r="E156" t="n">
        <v>30</v>
      </c>
      <c r="F156" s="4" t="n">
        <v>6200</v>
      </c>
      <c r="G156" s="5" t="n">
        <v>0.1</v>
      </c>
      <c r="H156" s="4" t="n">
        <v>167400</v>
      </c>
      <c r="I156" s="3" t="n">
        <v>46265</v>
      </c>
      <c r="J156" t="inlineStr">
        <is>
          <t>Sí</t>
        </is>
      </c>
      <c r="K156">
        <f>IF(J156="Sí","Cobrado",IF(I156&lt;Dashboard!$B$1,"Vencido","Al día"))</f>
        <v/>
      </c>
    </row>
    <row r="157">
      <c r="A157" s="3" t="n">
        <v>46218</v>
      </c>
      <c r="B157" t="inlineStr">
        <is>
          <t>Colegio Nuevo Horizonte</t>
        </is>
      </c>
      <c r="C157" t="inlineStr">
        <is>
          <t>Tomás Gil</t>
        </is>
      </c>
      <c r="D157" t="inlineStr">
        <is>
          <t>PAP-220</t>
        </is>
      </c>
      <c r="E157" t="n">
        <v>10</v>
      </c>
      <c r="F157" s="4" t="n">
        <v>3900</v>
      </c>
      <c r="G157" s="5" t="n">
        <v>0</v>
      </c>
      <c r="H157" s="4" t="n">
        <v>39000</v>
      </c>
      <c r="I157" s="3" t="n">
        <v>46265</v>
      </c>
      <c r="J157" t="inlineStr">
        <is>
          <t>Sí</t>
        </is>
      </c>
      <c r="K157">
        <f>IF(J157="Sí","Cobrado",IF(I157&lt;Dashboard!$B$1,"Vencido","Al día"))</f>
        <v/>
      </c>
    </row>
    <row r="158">
      <c r="A158" s="3" t="n">
        <v>46218</v>
      </c>
      <c r="B158" t="inlineStr">
        <is>
          <t>Hotel Mirador</t>
        </is>
      </c>
      <c r="C158" t="inlineStr">
        <is>
          <t>Tomás Gil</t>
        </is>
      </c>
      <c r="D158" t="inlineStr">
        <is>
          <t>LIM-010</t>
        </is>
      </c>
      <c r="E158" t="n">
        <v>40</v>
      </c>
      <c r="F158" s="4" t="n">
        <v>2400</v>
      </c>
      <c r="G158" s="5" t="n">
        <v>0.05</v>
      </c>
      <c r="H158" s="4" t="n">
        <v>91200</v>
      </c>
      <c r="I158" s="3" t="n">
        <v>46265</v>
      </c>
      <c r="J158" t="inlineStr">
        <is>
          <t>Sí</t>
        </is>
      </c>
      <c r="K158">
        <f>IF(J158="Sí","Cobrado",IF(I158&lt;Dashboard!$B$1,"Vencido","Al día"))</f>
        <v/>
      </c>
    </row>
    <row r="159">
      <c r="A159" s="3" t="n">
        <v>46219</v>
      </c>
      <c r="B159" t="inlineStr">
        <is>
          <t>Kiosco La Esquina</t>
        </is>
      </c>
      <c r="C159" t="inlineStr">
        <is>
          <t>Carla Ruiz</t>
        </is>
      </c>
      <c r="D159" t="inlineStr">
        <is>
          <t>PAP-220</t>
        </is>
      </c>
      <c r="E159" t="n">
        <v>60</v>
      </c>
      <c r="F159" s="4" t="n">
        <v>3900</v>
      </c>
      <c r="G159" s="5" t="n">
        <v>0.1</v>
      </c>
      <c r="H159" s="4" t="n">
        <v>210600</v>
      </c>
      <c r="I159" s="3" t="n">
        <v>46265</v>
      </c>
      <c r="J159" t="inlineStr">
        <is>
          <t>Sí</t>
        </is>
      </c>
      <c r="K159">
        <f>IF(J159="Sí","Cobrado",IF(I159&lt;Dashboard!$B$1,"Vencido","Al día"))</f>
        <v/>
      </c>
    </row>
    <row r="160">
      <c r="A160" s="3" t="n">
        <v>46220</v>
      </c>
      <c r="B160" t="inlineStr">
        <is>
          <t>Librería San Martín Srl</t>
        </is>
      </c>
      <c r="C160" t="inlineStr">
        <is>
          <t>Diego Paz</t>
        </is>
      </c>
      <c r="D160" t="inlineStr">
        <is>
          <t>LIM-030</t>
        </is>
      </c>
      <c r="E160" t="n">
        <v>25</v>
      </c>
      <c r="F160" s="4" t="n">
        <v>1150</v>
      </c>
      <c r="G160" s="5" t="n">
        <v>0</v>
      </c>
      <c r="H160" s="4" t="n">
        <v>28750</v>
      </c>
      <c r="I160" s="3" t="n">
        <v>46265</v>
      </c>
      <c r="J160" t="inlineStr">
        <is>
          <t>Sí</t>
        </is>
      </c>
      <c r="K160">
        <f>IF(J160="Sí","Cobrado",IF(I160&lt;Dashboard!$B$1,"Vencido","Al día"))</f>
        <v/>
      </c>
    </row>
    <row r="161">
      <c r="A161" s="3" t="n">
        <v>46223</v>
      </c>
      <c r="B161" t="inlineStr">
        <is>
          <t>Librería San Martín Srl</t>
        </is>
      </c>
      <c r="C161" t="inlineStr">
        <is>
          <t>Tomás Gil</t>
        </is>
      </c>
      <c r="D161" t="inlineStr">
        <is>
          <t>PAP-200</t>
        </is>
      </c>
      <c r="E161" t="n">
        <v>10</v>
      </c>
      <c r="F161" s="4" t="n">
        <v>4500</v>
      </c>
      <c r="G161" s="5" t="n">
        <v>0.05</v>
      </c>
      <c r="H161" s="4" t="n">
        <v>42750</v>
      </c>
      <c r="I161" s="3" t="n">
        <v>46265</v>
      </c>
      <c r="J161" t="inlineStr">
        <is>
          <t>Sí</t>
        </is>
      </c>
      <c r="K161">
        <f>IF(J161="Sí","Cobrado",IF(I161&lt;Dashboard!$B$1,"Vencido","Al día"))</f>
        <v/>
      </c>
    </row>
    <row r="162">
      <c r="A162" s="3" t="n">
        <v>46223</v>
      </c>
      <c r="B162" t="inlineStr">
        <is>
          <t>Ferretería El Tornillo</t>
        </is>
      </c>
      <c r="C162" t="inlineStr">
        <is>
          <t>Tomás Gil</t>
        </is>
      </c>
      <c r="D162" t="inlineStr">
        <is>
          <t>LIM-010</t>
        </is>
      </c>
      <c r="E162" t="n">
        <v>10</v>
      </c>
      <c r="F162" s="4" t="n">
        <v>2400</v>
      </c>
      <c r="G162" s="5" t="n">
        <v>0</v>
      </c>
      <c r="H162" s="4" t="n">
        <v>24000</v>
      </c>
      <c r="I162" s="3" t="n">
        <v>46265</v>
      </c>
      <c r="J162" t="inlineStr">
        <is>
          <t>Sí</t>
        </is>
      </c>
      <c r="K162">
        <f>IF(J162="Sí","Cobrado",IF(I162&lt;Dashboard!$B$1,"Vencido","Al día"))</f>
        <v/>
      </c>
    </row>
    <row r="163">
      <c r="A163" s="3" t="n">
        <v>46224</v>
      </c>
      <c r="B163" t="inlineStr">
        <is>
          <t>Ferretería El Tornillo</t>
        </is>
      </c>
      <c r="C163" t="inlineStr">
        <is>
          <t>Carla Ruiz</t>
        </is>
      </c>
      <c r="D163" t="inlineStr">
        <is>
          <t>LIM-010</t>
        </is>
      </c>
      <c r="E163" t="n">
        <v>12</v>
      </c>
      <c r="F163" s="4" t="n">
        <v>2400</v>
      </c>
      <c r="G163" s="5" t="n">
        <v>0</v>
      </c>
      <c r="H163" s="4" t="n">
        <v>28800</v>
      </c>
      <c r="I163" s="3" t="n">
        <v>46265</v>
      </c>
      <c r="J163" t="inlineStr">
        <is>
          <t>Sí</t>
        </is>
      </c>
      <c r="K163">
        <f>IF(J163="Sí","Cobrado",IF(I163&lt;Dashboard!$B$1,"Vencido","Al día"))</f>
        <v/>
      </c>
    </row>
    <row r="164">
      <c r="A164" s="3" t="n">
        <v>46225</v>
      </c>
      <c r="B164" t="inlineStr">
        <is>
          <t>Hotel Mirador</t>
        </is>
      </c>
      <c r="C164" t="inlineStr">
        <is>
          <t>Tomás Gil</t>
        </is>
      </c>
      <c r="D164" t="inlineStr">
        <is>
          <t>LIM-020</t>
        </is>
      </c>
      <c r="E164" t="n">
        <v>100</v>
      </c>
      <c r="F164" s="4" t="n">
        <v>3100</v>
      </c>
      <c r="G164" s="5" t="n">
        <v>0.1</v>
      </c>
      <c r="H164" s="4" t="n">
        <v>279000</v>
      </c>
      <c r="I164" s="3" t="n">
        <v>46265</v>
      </c>
      <c r="J164" t="inlineStr">
        <is>
          <t>Sí</t>
        </is>
      </c>
      <c r="K164">
        <f>IF(J164="Sí","Cobrado",IF(I164&lt;Dashboard!$B$1,"Vencido","Al día"))</f>
        <v/>
      </c>
    </row>
    <row r="165">
      <c r="A165" s="3" t="n">
        <v>46226</v>
      </c>
      <c r="B165" t="inlineStr">
        <is>
          <t>Ferretería El Tornillo</t>
        </is>
      </c>
      <c r="C165" t="inlineStr">
        <is>
          <t>Diego Paz</t>
        </is>
      </c>
      <c r="D165" t="inlineStr">
        <is>
          <t>LIM-020</t>
        </is>
      </c>
      <c r="E165" t="n">
        <v>80</v>
      </c>
      <c r="F165" s="4" t="n">
        <v>3100</v>
      </c>
      <c r="G165" s="5" t="n">
        <v>0.1</v>
      </c>
      <c r="H165" s="4" t="n">
        <v>223200</v>
      </c>
      <c r="I165" s="3" t="n">
        <v>46265</v>
      </c>
      <c r="J165" t="inlineStr">
        <is>
          <t>Sí</t>
        </is>
      </c>
      <c r="K165">
        <f>IF(J165="Sí","Cobrado",IF(I165&lt;Dashboard!$B$1,"Vencido","Al día"))</f>
        <v/>
      </c>
    </row>
    <row r="166">
      <c r="A166" s="3" t="n">
        <v>46227</v>
      </c>
      <c r="B166" t="inlineStr">
        <is>
          <t>Kiosco La Esquina</t>
        </is>
      </c>
      <c r="C166" t="inlineStr">
        <is>
          <t>Tomás Gil</t>
        </is>
      </c>
      <c r="D166" t="inlineStr">
        <is>
          <t>LIM-010</t>
        </is>
      </c>
      <c r="E166" t="n">
        <v>60</v>
      </c>
      <c r="F166" s="4" t="n">
        <v>2400</v>
      </c>
      <c r="G166" s="5" t="n">
        <v>0.1</v>
      </c>
      <c r="H166" s="4" t="n">
        <v>129600</v>
      </c>
      <c r="I166" s="3" t="n">
        <v>46265</v>
      </c>
      <c r="J166" t="inlineStr">
        <is>
          <t>Sí</t>
        </is>
      </c>
      <c r="K166">
        <f>IF(J166="Sí","Cobrado",IF(I166&lt;Dashboard!$B$1,"Vencido","Al día"))</f>
        <v/>
      </c>
    </row>
    <row r="167">
      <c r="A167" s="3" t="n">
        <v>46227</v>
      </c>
      <c r="B167" t="inlineStr">
        <is>
          <t>Hotel Mirador</t>
        </is>
      </c>
      <c r="C167" t="inlineStr">
        <is>
          <t>Carla Ruiz</t>
        </is>
      </c>
      <c r="D167" t="inlineStr">
        <is>
          <t>LIM-020</t>
        </is>
      </c>
      <c r="E167" t="n">
        <v>20</v>
      </c>
      <c r="F167" s="4" t="n">
        <v>3100</v>
      </c>
      <c r="G167" s="5" t="n">
        <v>0.05</v>
      </c>
      <c r="H167" s="4" t="n">
        <v>58900</v>
      </c>
      <c r="I167" s="3" t="n">
        <v>46265</v>
      </c>
      <c r="J167" t="inlineStr">
        <is>
          <t>Sí</t>
        </is>
      </c>
      <c r="K167">
        <f>IF(J167="Sí","Cobrado",IF(I167&lt;Dashboard!$B$1,"Vencido","Al día"))</f>
        <v/>
      </c>
    </row>
    <row r="168">
      <c r="A168" s="3" t="n">
        <v>46230</v>
      </c>
      <c r="B168" t="inlineStr">
        <is>
          <t>Colegio Nuevo Horizonte</t>
        </is>
      </c>
      <c r="C168" t="inlineStr">
        <is>
          <t>Tomás Gil</t>
        </is>
      </c>
      <c r="D168" t="inlineStr">
        <is>
          <t>PAP-200</t>
        </is>
      </c>
      <c r="E168" t="n">
        <v>80</v>
      </c>
      <c r="F168" s="4" t="n">
        <v>4500</v>
      </c>
      <c r="G168" s="5" t="n">
        <v>0.1</v>
      </c>
      <c r="H168" s="4" t="n">
        <v>324000</v>
      </c>
      <c r="I168" s="3" t="n">
        <v>46265</v>
      </c>
      <c r="J168" t="inlineStr">
        <is>
          <t>Sí</t>
        </is>
      </c>
      <c r="K168">
        <f>IF(J168="Sí","Cobrado",IF(I168&lt;Dashboard!$B$1,"Vencido","Al día"))</f>
        <v/>
      </c>
    </row>
    <row r="169">
      <c r="A169" s="3" t="n">
        <v>46233</v>
      </c>
      <c r="B169" t="inlineStr">
        <is>
          <t>Ferretería El Tornillo</t>
        </is>
      </c>
      <c r="C169" t="inlineStr">
        <is>
          <t>Carla Ruiz</t>
        </is>
      </c>
      <c r="D169" t="inlineStr">
        <is>
          <t>PAP-220</t>
        </is>
      </c>
      <c r="E169" t="n">
        <v>15</v>
      </c>
      <c r="F169" s="4" t="n">
        <v>3900</v>
      </c>
      <c r="G169" s="5" t="n">
        <v>0.05</v>
      </c>
      <c r="H169" s="4" t="n">
        <v>55575</v>
      </c>
      <c r="I169" s="3" t="n">
        <v>46265</v>
      </c>
      <c r="J169" t="inlineStr">
        <is>
          <t>Sí</t>
        </is>
      </c>
      <c r="K169">
        <f>IF(J169="Sí","Cobrado",IF(I169&lt;Dashboard!$B$1,"Vencido","Al día"))</f>
        <v/>
      </c>
    </row>
    <row r="170">
      <c r="A170" s="3" t="n">
        <v>46234</v>
      </c>
      <c r="B170" t="inlineStr">
        <is>
          <t>Kiosco La Esquina</t>
        </is>
      </c>
      <c r="C170" t="inlineStr">
        <is>
          <t>Carla Ruiz</t>
        </is>
      </c>
      <c r="D170" t="inlineStr">
        <is>
          <t>PAP-210</t>
        </is>
      </c>
      <c r="E170" t="n">
        <v>10</v>
      </c>
      <c r="F170" s="4" t="n">
        <v>6200</v>
      </c>
      <c r="G170" s="5" t="n">
        <v>0.05</v>
      </c>
      <c r="H170" s="4" t="n">
        <v>58900</v>
      </c>
      <c r="I170" s="3" t="n">
        <v>46265</v>
      </c>
      <c r="J170" t="inlineStr">
        <is>
          <t>Sí</t>
        </is>
      </c>
      <c r="K170">
        <f>IF(J170="Sí","Cobrado",IF(I170&lt;Dashboard!$B$1,"Vencido","Al día"))</f>
        <v/>
      </c>
    </row>
    <row r="171">
      <c r="A171" s="3" t="n">
        <v>46237</v>
      </c>
      <c r="B171" t="inlineStr">
        <is>
          <t>Hotel Mirador</t>
        </is>
      </c>
      <c r="C171" t="inlineStr">
        <is>
          <t>Carla Ruiz</t>
        </is>
      </c>
      <c r="D171" t="inlineStr">
        <is>
          <t>PAP-220</t>
        </is>
      </c>
      <c r="E171" t="n">
        <v>100</v>
      </c>
      <c r="F171" s="4" t="n">
        <v>3900</v>
      </c>
      <c r="G171" s="5" t="n">
        <v>0.1</v>
      </c>
      <c r="H171" s="4" t="n">
        <v>351000</v>
      </c>
      <c r="I171" s="3" t="n">
        <v>46295</v>
      </c>
      <c r="J171" t="inlineStr">
        <is>
          <t>Sí</t>
        </is>
      </c>
      <c r="K171">
        <f>IF(J171="Sí","Cobrado",IF(I171&lt;Dashboard!$B$1,"Vencido","Al día"))</f>
        <v/>
      </c>
    </row>
    <row r="172">
      <c r="A172" s="3" t="n">
        <v>46238</v>
      </c>
      <c r="B172" t="inlineStr">
        <is>
          <t>Ferretería El Tornillo</t>
        </is>
      </c>
      <c r="C172" t="inlineStr">
        <is>
          <t>Diego Paz</t>
        </is>
      </c>
      <c r="D172" t="inlineStr">
        <is>
          <t>LIM-010</t>
        </is>
      </c>
      <c r="E172" t="n">
        <v>40</v>
      </c>
      <c r="F172" s="4" t="n">
        <v>2400</v>
      </c>
      <c r="G172" s="5" t="n">
        <v>0.05</v>
      </c>
      <c r="H172" s="4" t="n">
        <v>91200</v>
      </c>
      <c r="I172" s="3" t="n">
        <v>46295</v>
      </c>
      <c r="J172" t="inlineStr">
        <is>
          <t>Sí</t>
        </is>
      </c>
      <c r="K172">
        <f>IF(J172="Sí","Cobrado",IF(I172&lt;Dashboard!$B$1,"Vencido","Al día"))</f>
        <v/>
      </c>
    </row>
    <row r="173">
      <c r="A173" s="3" t="n">
        <v>46238</v>
      </c>
      <c r="B173" t="inlineStr">
        <is>
          <t>Librería San Martín Srl</t>
        </is>
      </c>
      <c r="C173" t="inlineStr">
        <is>
          <t>Diego Paz</t>
        </is>
      </c>
      <c r="D173" t="inlineStr">
        <is>
          <t>PAP-200</t>
        </is>
      </c>
      <c r="E173" t="n">
        <v>20</v>
      </c>
      <c r="F173" s="4" t="n">
        <v>4500</v>
      </c>
      <c r="G173" s="5" t="n">
        <v>0.05</v>
      </c>
      <c r="H173" s="4" t="n">
        <v>85500</v>
      </c>
      <c r="I173" s="3" t="n">
        <v>46295</v>
      </c>
      <c r="J173" t="inlineStr">
        <is>
          <t>Sí</t>
        </is>
      </c>
      <c r="K173">
        <f>IF(J173="Sí","Cobrado",IF(I173&lt;Dashboard!$B$1,"Vencido","Al día"))</f>
        <v/>
      </c>
    </row>
    <row r="174">
      <c r="A174" s="3" t="n">
        <v>46238</v>
      </c>
      <c r="B174" t="inlineStr">
        <is>
          <t>Ferretería El Tornillo</t>
        </is>
      </c>
      <c r="C174" t="inlineStr">
        <is>
          <t>Diego Paz</t>
        </is>
      </c>
      <c r="D174" t="inlineStr">
        <is>
          <t>LIM-030</t>
        </is>
      </c>
      <c r="E174" t="n">
        <v>50</v>
      </c>
      <c r="F174" s="4" t="n">
        <v>1150</v>
      </c>
      <c r="G174" s="5" t="n">
        <v>0.05</v>
      </c>
      <c r="H174" s="4" t="n">
        <v>54625</v>
      </c>
      <c r="I174" s="3" t="n">
        <v>46295</v>
      </c>
      <c r="J174" t="inlineStr">
        <is>
          <t>Sí</t>
        </is>
      </c>
      <c r="K174">
        <f>IF(J174="Sí","Cobrado",IF(I174&lt;Dashboard!$B$1,"Vencido","Al día"))</f>
        <v/>
      </c>
    </row>
    <row r="175">
      <c r="A175" s="3" t="n">
        <v>46241</v>
      </c>
      <c r="B175" t="inlineStr">
        <is>
          <t>Librería San Martín Srl</t>
        </is>
      </c>
      <c r="C175" t="inlineStr">
        <is>
          <t>Tomás Gil</t>
        </is>
      </c>
      <c r="D175" t="inlineStr">
        <is>
          <t>LIM-040</t>
        </is>
      </c>
      <c r="E175" t="n">
        <v>60</v>
      </c>
      <c r="F175" s="4" t="n">
        <v>9800</v>
      </c>
      <c r="G175" s="5" t="n">
        <v>0.1</v>
      </c>
      <c r="H175" s="4" t="n">
        <v>529200</v>
      </c>
      <c r="I175" s="3" t="n">
        <v>46295</v>
      </c>
      <c r="J175" t="inlineStr">
        <is>
          <t>Sí</t>
        </is>
      </c>
      <c r="K175">
        <f>IF(J175="Sí","Cobrado",IF(I175&lt;Dashboard!$B$1,"Vencido","Al día"))</f>
        <v/>
      </c>
    </row>
    <row r="176">
      <c r="A176" s="3" t="n">
        <v>46244</v>
      </c>
      <c r="B176" t="inlineStr">
        <is>
          <t>Colegio Nuevo Horizonte</t>
        </is>
      </c>
      <c r="C176" t="inlineStr">
        <is>
          <t>Tomás Gil</t>
        </is>
      </c>
      <c r="D176" t="inlineStr">
        <is>
          <t>PAP-200</t>
        </is>
      </c>
      <c r="E176" t="n">
        <v>20</v>
      </c>
      <c r="F176" s="4" t="n">
        <v>4500</v>
      </c>
      <c r="G176" s="5" t="n">
        <v>0.05</v>
      </c>
      <c r="H176" s="4" t="n">
        <v>85500</v>
      </c>
      <c r="I176" s="3" t="n">
        <v>46295</v>
      </c>
      <c r="J176" t="inlineStr">
        <is>
          <t>Sí</t>
        </is>
      </c>
      <c r="K176">
        <f>IF(J176="Sí","Cobrado",IF(I176&lt;Dashboard!$B$1,"Vencido","Al día"))</f>
        <v/>
      </c>
    </row>
    <row r="177">
      <c r="A177" s="3" t="n">
        <v>46245</v>
      </c>
      <c r="B177" t="inlineStr">
        <is>
          <t>Ferretería El Tornillo</t>
        </is>
      </c>
      <c r="C177" t="inlineStr">
        <is>
          <t>Tomás Gil</t>
        </is>
      </c>
      <c r="D177" t="inlineStr">
        <is>
          <t>LIM-040</t>
        </is>
      </c>
      <c r="E177" t="n">
        <v>40</v>
      </c>
      <c r="F177" s="4" t="n">
        <v>9800</v>
      </c>
      <c r="G177" s="5" t="n">
        <v>0.1</v>
      </c>
      <c r="H177" s="4" t="n">
        <v>352800</v>
      </c>
      <c r="I177" s="3" t="n">
        <v>46295</v>
      </c>
      <c r="J177" t="inlineStr">
        <is>
          <t>Sí</t>
        </is>
      </c>
      <c r="K177">
        <f>IF(J177="Sí","Cobrado",IF(I177&lt;Dashboard!$B$1,"Vencido","Al día"))</f>
        <v/>
      </c>
    </row>
    <row r="178">
      <c r="A178" s="3" t="n">
        <v>46246</v>
      </c>
      <c r="B178" t="inlineStr">
        <is>
          <t>Librería San Martín Srl</t>
        </is>
      </c>
      <c r="C178" t="inlineStr">
        <is>
          <t>Carla Ruiz</t>
        </is>
      </c>
      <c r="D178" t="inlineStr">
        <is>
          <t>PAP-200</t>
        </is>
      </c>
      <c r="E178" t="n">
        <v>120</v>
      </c>
      <c r="F178" s="4" t="n">
        <v>4500</v>
      </c>
      <c r="G178" s="5" t="n">
        <v>0.1</v>
      </c>
      <c r="H178" s="4" t="n">
        <v>486000</v>
      </c>
      <c r="I178" s="3" t="n">
        <v>46295</v>
      </c>
      <c r="J178" t="inlineStr">
        <is>
          <t>No</t>
        </is>
      </c>
      <c r="K178">
        <f>IF(J178="Sí","Cobrado",IF(I178&lt;Dashboard!$B$1,"Vencido","Al día"))</f>
        <v/>
      </c>
    </row>
    <row r="179">
      <c r="A179" s="3" t="n">
        <v>46246</v>
      </c>
      <c r="B179" t="inlineStr">
        <is>
          <t>Colegio Nuevo Horizonte</t>
        </is>
      </c>
      <c r="C179" t="inlineStr">
        <is>
          <t>Diego Paz</t>
        </is>
      </c>
      <c r="D179" t="inlineStr">
        <is>
          <t>PAP-200</t>
        </is>
      </c>
      <c r="E179" t="n">
        <v>12</v>
      </c>
      <c r="F179" s="4" t="n">
        <v>4500</v>
      </c>
      <c r="G179" s="5" t="n">
        <v>0.05</v>
      </c>
      <c r="H179" s="4" t="n">
        <v>51300</v>
      </c>
      <c r="I179" s="3" t="n">
        <v>46295</v>
      </c>
      <c r="J179" t="inlineStr">
        <is>
          <t>Sí</t>
        </is>
      </c>
      <c r="K179">
        <f>IF(J179="Sí","Cobrado",IF(I179&lt;Dashboard!$B$1,"Vencido","Al día"))</f>
        <v/>
      </c>
    </row>
    <row r="180">
      <c r="A180" s="3" t="n">
        <v>46246</v>
      </c>
      <c r="B180" t="inlineStr">
        <is>
          <t>Ferretería El Tornillo</t>
        </is>
      </c>
      <c r="C180" t="inlineStr">
        <is>
          <t>Carla Ruiz</t>
        </is>
      </c>
      <c r="D180" t="inlineStr">
        <is>
          <t>LIM-030</t>
        </is>
      </c>
      <c r="E180" t="n">
        <v>30</v>
      </c>
      <c r="F180" s="4" t="n">
        <v>1150</v>
      </c>
      <c r="G180" s="5" t="n">
        <v>0</v>
      </c>
      <c r="H180" s="4" t="n">
        <v>34500</v>
      </c>
      <c r="I180" s="3" t="n">
        <v>46295</v>
      </c>
      <c r="J180" t="inlineStr">
        <is>
          <t>Sí</t>
        </is>
      </c>
      <c r="K180">
        <f>IF(J180="Sí","Cobrado",IF(I180&lt;Dashboard!$B$1,"Vencido","Al día"))</f>
        <v/>
      </c>
    </row>
    <row r="181">
      <c r="A181" s="3" t="n">
        <v>46247</v>
      </c>
      <c r="B181" t="inlineStr">
        <is>
          <t>Kiosco La Esquina</t>
        </is>
      </c>
      <c r="C181" t="inlineStr">
        <is>
          <t>Tomás Gil</t>
        </is>
      </c>
      <c r="D181" t="inlineStr">
        <is>
          <t>PAP-220</t>
        </is>
      </c>
      <c r="E181" t="n">
        <v>100</v>
      </c>
      <c r="F181" s="4" t="n">
        <v>3900</v>
      </c>
      <c r="G181" s="5" t="n">
        <v>0.1</v>
      </c>
      <c r="H181" s="4" t="n">
        <v>351000</v>
      </c>
      <c r="I181" s="3" t="n">
        <v>46295</v>
      </c>
      <c r="J181" t="inlineStr">
        <is>
          <t>Sí</t>
        </is>
      </c>
      <c r="K181">
        <f>IF(J181="Sí","Cobrado",IF(I181&lt;Dashboard!$B$1,"Vencido","Al día"))</f>
        <v/>
      </c>
    </row>
    <row r="182">
      <c r="A182" s="3" t="n">
        <v>46247</v>
      </c>
      <c r="B182" t="inlineStr">
        <is>
          <t>Colegio Nuevo Horizonte</t>
        </is>
      </c>
      <c r="C182" t="inlineStr">
        <is>
          <t>Tomás Gil</t>
        </is>
      </c>
      <c r="D182" t="inlineStr">
        <is>
          <t>LIM-040</t>
        </is>
      </c>
      <c r="E182" t="n">
        <v>120</v>
      </c>
      <c r="F182" s="4" t="n">
        <v>9800</v>
      </c>
      <c r="G182" s="5" t="n">
        <v>0.1</v>
      </c>
      <c r="H182" s="4" t="n">
        <v>1058400</v>
      </c>
      <c r="I182" s="3" t="n">
        <v>46295</v>
      </c>
      <c r="J182" t="inlineStr">
        <is>
          <t>Sí</t>
        </is>
      </c>
      <c r="K182">
        <f>IF(J182="Sí","Cobrado",IF(I182&lt;Dashboard!$B$1,"Vencido","Al día"))</f>
        <v/>
      </c>
    </row>
    <row r="183">
      <c r="A183" s="3" t="n">
        <v>46248</v>
      </c>
      <c r="B183" t="inlineStr">
        <is>
          <t>Colegio Nuevo Horizonte</t>
        </is>
      </c>
      <c r="C183" t="inlineStr">
        <is>
          <t>Carla Ruiz</t>
        </is>
      </c>
      <c r="D183" t="inlineStr">
        <is>
          <t>LIM-030</t>
        </is>
      </c>
      <c r="E183" t="n">
        <v>12</v>
      </c>
      <c r="F183" s="4" t="n">
        <v>1150</v>
      </c>
      <c r="G183" s="5" t="n">
        <v>0</v>
      </c>
      <c r="H183" s="4" t="n">
        <v>13800</v>
      </c>
      <c r="I183" s="3" t="n">
        <v>46295</v>
      </c>
      <c r="J183" t="inlineStr">
        <is>
          <t>Sí</t>
        </is>
      </c>
      <c r="K183">
        <f>IF(J183="Sí","Cobrado",IF(I183&lt;Dashboard!$B$1,"Vencido","Al día"))</f>
        <v/>
      </c>
    </row>
    <row r="184">
      <c r="A184" s="3" t="n">
        <v>46248</v>
      </c>
      <c r="B184" t="inlineStr">
        <is>
          <t>Librería San Martín Srl</t>
        </is>
      </c>
      <c r="C184" t="inlineStr">
        <is>
          <t>Carla Ruiz</t>
        </is>
      </c>
      <c r="D184" t="inlineStr">
        <is>
          <t>LIM-010</t>
        </is>
      </c>
      <c r="E184" t="n">
        <v>60</v>
      </c>
      <c r="F184" s="4" t="n">
        <v>2400</v>
      </c>
      <c r="G184" s="5" t="n">
        <v>0.1</v>
      </c>
      <c r="H184" s="4" t="n">
        <v>129600</v>
      </c>
      <c r="I184" s="3" t="n">
        <v>46295</v>
      </c>
      <c r="J184" t="inlineStr">
        <is>
          <t>Sí</t>
        </is>
      </c>
      <c r="K184">
        <f>IF(J184="Sí","Cobrado",IF(I184&lt;Dashboard!$B$1,"Vencido","Al día"))</f>
        <v/>
      </c>
    </row>
    <row r="185">
      <c r="A185" s="3" t="n">
        <v>46252</v>
      </c>
      <c r="B185" t="inlineStr">
        <is>
          <t>Librería San Martín Srl</t>
        </is>
      </c>
      <c r="C185" t="inlineStr">
        <is>
          <t>Diego Paz</t>
        </is>
      </c>
      <c r="D185" t="inlineStr">
        <is>
          <t>PAP-210</t>
        </is>
      </c>
      <c r="E185" t="n">
        <v>15</v>
      </c>
      <c r="F185" s="4" t="n">
        <v>6200</v>
      </c>
      <c r="G185" s="5" t="n">
        <v>0.05</v>
      </c>
      <c r="H185" s="4" t="n">
        <v>88350</v>
      </c>
      <c r="I185" s="3" t="n">
        <v>46295</v>
      </c>
      <c r="J185" t="inlineStr">
        <is>
          <t>Sí</t>
        </is>
      </c>
      <c r="K185">
        <f>IF(J185="Sí","Cobrado",IF(I185&lt;Dashboard!$B$1,"Vencido","Al día"))</f>
        <v/>
      </c>
    </row>
    <row r="186">
      <c r="A186" s="3" t="n">
        <v>46254</v>
      </c>
      <c r="B186" t="inlineStr">
        <is>
          <t>Ferretería El Tornillo</t>
        </is>
      </c>
      <c r="C186" t="inlineStr">
        <is>
          <t>Carla Ruiz</t>
        </is>
      </c>
      <c r="D186" t="inlineStr">
        <is>
          <t>PAP-220</t>
        </is>
      </c>
      <c r="E186" t="n">
        <v>12</v>
      </c>
      <c r="F186" s="4" t="n">
        <v>3900</v>
      </c>
      <c r="G186" s="5" t="n">
        <v>0.05</v>
      </c>
      <c r="H186" s="4" t="n">
        <v>44460</v>
      </c>
      <c r="I186" s="3" t="n">
        <v>46295</v>
      </c>
      <c r="J186" t="inlineStr">
        <is>
          <t>Sí</t>
        </is>
      </c>
      <c r="K186">
        <f>IF(J186="Sí","Cobrado",IF(I186&lt;Dashboard!$B$1,"Vencido","Al día"))</f>
        <v/>
      </c>
    </row>
    <row r="187">
      <c r="A187" s="3" t="n">
        <v>46254</v>
      </c>
      <c r="B187" t="inlineStr">
        <is>
          <t>Kiosco La Esquina</t>
        </is>
      </c>
      <c r="C187" t="inlineStr">
        <is>
          <t>Tomás Gil</t>
        </is>
      </c>
      <c r="D187" t="inlineStr">
        <is>
          <t>LIM-030</t>
        </is>
      </c>
      <c r="E187" t="n">
        <v>15</v>
      </c>
      <c r="F187" s="4" t="n">
        <v>1150</v>
      </c>
      <c r="G187" s="5" t="n">
        <v>0</v>
      </c>
      <c r="H187" s="4" t="n">
        <v>17250</v>
      </c>
      <c r="I187" s="3" t="n">
        <v>46295</v>
      </c>
      <c r="J187" t="inlineStr">
        <is>
          <t>Sí</t>
        </is>
      </c>
      <c r="K187">
        <f>IF(J187="Sí","Cobrado",IF(I187&lt;Dashboard!$B$1,"Vencido","Al día"))</f>
        <v/>
      </c>
    </row>
    <row r="188">
      <c r="A188" s="3" t="n">
        <v>46255</v>
      </c>
      <c r="B188" t="inlineStr">
        <is>
          <t>Kiosco La Esquina</t>
        </is>
      </c>
      <c r="C188" t="inlineStr">
        <is>
          <t>Tomás Gil</t>
        </is>
      </c>
      <c r="D188" t="inlineStr">
        <is>
          <t>LIM-020</t>
        </is>
      </c>
      <c r="E188" t="n">
        <v>15</v>
      </c>
      <c r="F188" s="4" t="n">
        <v>3100</v>
      </c>
      <c r="G188" s="5" t="n">
        <v>0.05</v>
      </c>
      <c r="H188" s="4" t="n">
        <v>44175</v>
      </c>
      <c r="I188" s="3" t="n">
        <v>46295</v>
      </c>
      <c r="J188" t="inlineStr">
        <is>
          <t>Sí</t>
        </is>
      </c>
      <c r="K188">
        <f>IF(J188="Sí","Cobrado",IF(I188&lt;Dashboard!$B$1,"Vencido","Al día"))</f>
        <v/>
      </c>
    </row>
    <row r="189">
      <c r="A189" s="3" t="n">
        <v>46255</v>
      </c>
      <c r="B189" t="inlineStr">
        <is>
          <t>Kiosco La Esquina</t>
        </is>
      </c>
      <c r="C189" t="inlineStr">
        <is>
          <t>Tomás Gil</t>
        </is>
      </c>
      <c r="D189" t="inlineStr">
        <is>
          <t>PAP-200</t>
        </is>
      </c>
      <c r="E189" t="n">
        <v>12</v>
      </c>
      <c r="F189" s="4" t="n">
        <v>4500</v>
      </c>
      <c r="G189" s="5" t="n">
        <v>0.05</v>
      </c>
      <c r="H189" s="4" t="n">
        <v>51300</v>
      </c>
      <c r="I189" s="3" t="n">
        <v>46295</v>
      </c>
      <c r="J189" t="inlineStr">
        <is>
          <t>Sí</t>
        </is>
      </c>
      <c r="K189">
        <f>IF(J189="Sí","Cobrado",IF(I189&lt;Dashboard!$B$1,"Vencido","Al día"))</f>
        <v/>
      </c>
    </row>
    <row r="190">
      <c r="A190" s="3" t="n">
        <v>46258</v>
      </c>
      <c r="B190" t="inlineStr">
        <is>
          <t>Hotel Mirador</t>
        </is>
      </c>
      <c r="C190" t="inlineStr">
        <is>
          <t>Diego Paz</t>
        </is>
      </c>
      <c r="D190" t="inlineStr">
        <is>
          <t>LIM-020</t>
        </is>
      </c>
      <c r="E190" t="n">
        <v>20</v>
      </c>
      <c r="F190" s="4" t="n">
        <v>3100</v>
      </c>
      <c r="G190" s="5" t="n">
        <v>0.05</v>
      </c>
      <c r="H190" s="4" t="n">
        <v>58900</v>
      </c>
      <c r="I190" s="3" t="n">
        <v>46295</v>
      </c>
      <c r="J190" t="inlineStr">
        <is>
          <t>Sí</t>
        </is>
      </c>
      <c r="K190">
        <f>IF(J190="Sí","Cobrado",IF(I190&lt;Dashboard!$B$1,"Vencido","Al día"))</f>
        <v/>
      </c>
    </row>
    <row r="191">
      <c r="A191" s="3" t="n">
        <v>46258</v>
      </c>
      <c r="B191" t="inlineStr">
        <is>
          <t>Librería San Martín Srl</t>
        </is>
      </c>
      <c r="C191" t="inlineStr">
        <is>
          <t>Diego Paz</t>
        </is>
      </c>
      <c r="D191" t="inlineStr">
        <is>
          <t>PAP-210</t>
        </is>
      </c>
      <c r="E191" t="n">
        <v>40</v>
      </c>
      <c r="F191" s="4" t="n">
        <v>6200</v>
      </c>
      <c r="G191" s="5" t="n">
        <v>0.1</v>
      </c>
      <c r="H191" s="4" t="n">
        <v>223200</v>
      </c>
      <c r="I191" s="3" t="n">
        <v>46295</v>
      </c>
      <c r="J191" t="inlineStr">
        <is>
          <t>Sí</t>
        </is>
      </c>
      <c r="K191">
        <f>IF(J191="Sí","Cobrado",IF(I191&lt;Dashboard!$B$1,"Vencido","Al día"))</f>
        <v/>
      </c>
    </row>
    <row r="192">
      <c r="A192" s="3" t="n">
        <v>46259</v>
      </c>
      <c r="B192" t="inlineStr">
        <is>
          <t>Kiosco La Esquina</t>
        </is>
      </c>
      <c r="C192" t="inlineStr">
        <is>
          <t>Diego Paz</t>
        </is>
      </c>
      <c r="D192" t="inlineStr">
        <is>
          <t>PAP-210</t>
        </is>
      </c>
      <c r="E192" t="n">
        <v>15</v>
      </c>
      <c r="F192" s="4" t="n">
        <v>6200</v>
      </c>
      <c r="G192" s="5" t="n">
        <v>0.05</v>
      </c>
      <c r="H192" s="4" t="n">
        <v>88350</v>
      </c>
      <c r="I192" s="3" t="n">
        <v>46295</v>
      </c>
      <c r="J192" t="inlineStr">
        <is>
          <t>Sí</t>
        </is>
      </c>
      <c r="K192">
        <f>IF(J192="Sí","Cobrado",IF(I192&lt;Dashboard!$B$1,"Vencido","Al día"))</f>
        <v/>
      </c>
    </row>
    <row r="193">
      <c r="A193" s="3" t="n">
        <v>46259</v>
      </c>
      <c r="B193" t="inlineStr">
        <is>
          <t>Kiosco La Esquina</t>
        </is>
      </c>
      <c r="C193" t="inlineStr">
        <is>
          <t>Carla Ruiz</t>
        </is>
      </c>
      <c r="D193" t="inlineStr">
        <is>
          <t>LIM-030</t>
        </is>
      </c>
      <c r="E193" t="n">
        <v>30</v>
      </c>
      <c r="F193" s="4" t="n">
        <v>1150</v>
      </c>
      <c r="G193" s="5" t="n">
        <v>0</v>
      </c>
      <c r="H193" s="4" t="n">
        <v>34500</v>
      </c>
      <c r="I193" s="3" t="n">
        <v>46295</v>
      </c>
      <c r="J193" t="inlineStr">
        <is>
          <t>Sí</t>
        </is>
      </c>
      <c r="K193">
        <f>IF(J193="Sí","Cobrado",IF(I193&lt;Dashboard!$B$1,"Vencido","Al día"))</f>
        <v/>
      </c>
    </row>
    <row r="194">
      <c r="A194" s="3" t="n">
        <v>46260</v>
      </c>
      <c r="B194" t="inlineStr">
        <is>
          <t>Librería San Martín Srl</t>
        </is>
      </c>
      <c r="C194" t="inlineStr">
        <is>
          <t>Diego Paz</t>
        </is>
      </c>
      <c r="D194" t="inlineStr">
        <is>
          <t>PAP-220</t>
        </is>
      </c>
      <c r="E194" t="n">
        <v>30</v>
      </c>
      <c r="F194" s="4" t="n">
        <v>3900</v>
      </c>
      <c r="G194" s="5" t="n">
        <v>0.1</v>
      </c>
      <c r="H194" s="4" t="n">
        <v>105300</v>
      </c>
      <c r="I194" s="3" t="n">
        <v>46295</v>
      </c>
      <c r="J194" t="inlineStr">
        <is>
          <t>Sí</t>
        </is>
      </c>
      <c r="K194">
        <f>IF(J194="Sí","Cobrado",IF(I194&lt;Dashboard!$B$1,"Vencido","Al día"))</f>
        <v/>
      </c>
    </row>
    <row r="195">
      <c r="A195" s="3" t="n">
        <v>46260</v>
      </c>
      <c r="B195" t="inlineStr">
        <is>
          <t>Kiosco La Esquina</t>
        </is>
      </c>
      <c r="C195" t="inlineStr">
        <is>
          <t>Diego Paz</t>
        </is>
      </c>
      <c r="D195" t="inlineStr">
        <is>
          <t>LIM-040</t>
        </is>
      </c>
      <c r="E195" t="n">
        <v>10</v>
      </c>
      <c r="F195" s="4" t="n">
        <v>9800</v>
      </c>
      <c r="G195" s="5" t="n">
        <v>0.05</v>
      </c>
      <c r="H195" s="4" t="n">
        <v>93100</v>
      </c>
      <c r="I195" s="3" t="n">
        <v>46295</v>
      </c>
      <c r="J195" t="inlineStr">
        <is>
          <t>Sí</t>
        </is>
      </c>
      <c r="K195">
        <f>IF(J195="Sí","Cobrado",IF(I195&lt;Dashboard!$B$1,"Vencido","Al día"))</f>
        <v/>
      </c>
    </row>
    <row r="196">
      <c r="A196" s="3" t="n">
        <v>46262</v>
      </c>
      <c r="B196" t="inlineStr">
        <is>
          <t>Librería San Martín Srl</t>
        </is>
      </c>
      <c r="C196" t="inlineStr">
        <is>
          <t>Diego Paz</t>
        </is>
      </c>
      <c r="D196" t="inlineStr">
        <is>
          <t>LIM-020</t>
        </is>
      </c>
      <c r="E196" t="n">
        <v>20</v>
      </c>
      <c r="F196" s="4" t="n">
        <v>3100</v>
      </c>
      <c r="G196" s="5" t="n">
        <v>0.05</v>
      </c>
      <c r="H196" s="4" t="n">
        <v>58900</v>
      </c>
      <c r="I196" s="3" t="n">
        <v>46295</v>
      </c>
      <c r="J196" t="inlineStr">
        <is>
          <t>Sí</t>
        </is>
      </c>
      <c r="K196">
        <f>IF(J196="Sí","Cobrado",IF(I196&lt;Dashboard!$B$1,"Vencido","Al día"))</f>
        <v/>
      </c>
    </row>
    <row r="197">
      <c r="A197" s="3" t="n">
        <v>46265</v>
      </c>
      <c r="B197" t="inlineStr">
        <is>
          <t>Hotel Mirador</t>
        </is>
      </c>
      <c r="C197" t="inlineStr">
        <is>
          <t>Diego Paz</t>
        </is>
      </c>
      <c r="D197" t="inlineStr">
        <is>
          <t>PAP-210</t>
        </is>
      </c>
      <c r="E197" t="n">
        <v>10</v>
      </c>
      <c r="F197" s="4" t="n">
        <v>6200</v>
      </c>
      <c r="G197" s="5" t="n">
        <v>0.05</v>
      </c>
      <c r="H197" s="4" t="n">
        <v>58900</v>
      </c>
      <c r="I197" s="3" t="n">
        <v>46295</v>
      </c>
      <c r="J197" t="inlineStr">
        <is>
          <t>Sí</t>
        </is>
      </c>
      <c r="K197">
        <f>IF(J197="Sí","Cobrado",IF(I197&lt;Dashboard!$B$1,"Vencido","Al día"))</f>
        <v/>
      </c>
    </row>
    <row r="198">
      <c r="A198" s="3" t="n">
        <v>46266</v>
      </c>
      <c r="B198" t="inlineStr">
        <is>
          <t>Hotel Mirador</t>
        </is>
      </c>
      <c r="C198" t="inlineStr">
        <is>
          <t>Tomás Gil</t>
        </is>
      </c>
      <c r="D198" t="inlineStr">
        <is>
          <t>LIM-020</t>
        </is>
      </c>
      <c r="E198" t="n">
        <v>30</v>
      </c>
      <c r="F198" s="4" t="n">
        <v>3100</v>
      </c>
      <c r="G198" s="5" t="n">
        <v>0.05</v>
      </c>
      <c r="H198" s="4" t="n">
        <v>88350</v>
      </c>
      <c r="I198" s="3" t="n">
        <v>46326</v>
      </c>
      <c r="J198" t="inlineStr">
        <is>
          <t>Sí</t>
        </is>
      </c>
      <c r="K198">
        <f>IF(J198="Sí","Cobrado",IF(I198&lt;Dashboard!$B$1,"Vencido","Al día"))</f>
        <v/>
      </c>
    </row>
    <row r="199">
      <c r="A199" s="3" t="n">
        <v>46266</v>
      </c>
      <c r="B199" t="inlineStr">
        <is>
          <t>Kiosco La Esquina</t>
        </is>
      </c>
      <c r="C199" t="inlineStr">
        <is>
          <t>Tomás Gil</t>
        </is>
      </c>
      <c r="D199" t="inlineStr">
        <is>
          <t>LIM-030</t>
        </is>
      </c>
      <c r="E199" t="n">
        <v>12</v>
      </c>
      <c r="F199" s="4" t="n">
        <v>1150</v>
      </c>
      <c r="G199" s="5" t="n">
        <v>0</v>
      </c>
      <c r="H199" s="4" t="n">
        <v>13800</v>
      </c>
      <c r="I199" s="3" t="n">
        <v>46326</v>
      </c>
      <c r="J199" t="inlineStr">
        <is>
          <t>No</t>
        </is>
      </c>
      <c r="K199">
        <f>IF(J199="Sí","Cobrado",IF(I199&lt;Dashboard!$B$1,"Vencido","Al día"))</f>
        <v/>
      </c>
    </row>
    <row r="200">
      <c r="A200" s="3" t="n">
        <v>46267</v>
      </c>
      <c r="B200" t="inlineStr">
        <is>
          <t>Ferretería El Tornillo</t>
        </is>
      </c>
      <c r="C200" t="inlineStr">
        <is>
          <t>Diego Paz</t>
        </is>
      </c>
      <c r="D200" t="inlineStr">
        <is>
          <t>PAP-210</t>
        </is>
      </c>
      <c r="E200" t="n">
        <v>60</v>
      </c>
      <c r="F200" s="4" t="n">
        <v>6200</v>
      </c>
      <c r="G200" s="5" t="n">
        <v>0.1</v>
      </c>
      <c r="H200" s="4" t="n">
        <v>334800</v>
      </c>
      <c r="I200" s="3" t="n">
        <v>46326</v>
      </c>
      <c r="J200" t="inlineStr">
        <is>
          <t>Sí</t>
        </is>
      </c>
      <c r="K200">
        <f>IF(J200="Sí","Cobrado",IF(I200&lt;Dashboard!$B$1,"Vencido","Al día"))</f>
        <v/>
      </c>
    </row>
    <row r="201">
      <c r="A201" s="3" t="n">
        <v>46268</v>
      </c>
      <c r="B201" t="inlineStr">
        <is>
          <t>Colegio Nuevo Horizonte</t>
        </is>
      </c>
      <c r="C201" t="inlineStr">
        <is>
          <t>Carla Ruiz</t>
        </is>
      </c>
      <c r="D201" t="inlineStr">
        <is>
          <t>LIM-030</t>
        </is>
      </c>
      <c r="E201" t="n">
        <v>12</v>
      </c>
      <c r="F201" s="4" t="n">
        <v>1150</v>
      </c>
      <c r="G201" s="5" t="n">
        <v>0</v>
      </c>
      <c r="H201" s="4" t="n">
        <v>13800</v>
      </c>
      <c r="I201" s="3" t="n">
        <v>46326</v>
      </c>
      <c r="J201" t="inlineStr">
        <is>
          <t>No</t>
        </is>
      </c>
      <c r="K201">
        <f>IF(J201="Sí","Cobrado",IF(I201&lt;Dashboard!$B$1,"Vencido","Al día"))</f>
        <v/>
      </c>
    </row>
    <row r="202">
      <c r="A202" s="3" t="n">
        <v>46269</v>
      </c>
      <c r="B202" t="inlineStr">
        <is>
          <t>Ferretería El Tornillo</t>
        </is>
      </c>
      <c r="C202" t="inlineStr">
        <is>
          <t>Tomás Gil</t>
        </is>
      </c>
      <c r="D202" t="inlineStr">
        <is>
          <t>LIM-010</t>
        </is>
      </c>
      <c r="E202" t="n">
        <v>80</v>
      </c>
      <c r="F202" s="4" t="n">
        <v>2400</v>
      </c>
      <c r="G202" s="5" t="n">
        <v>0.1</v>
      </c>
      <c r="H202" s="4" t="n">
        <v>172800</v>
      </c>
      <c r="I202" s="3" t="n">
        <v>46326</v>
      </c>
      <c r="J202" t="inlineStr">
        <is>
          <t>No</t>
        </is>
      </c>
      <c r="K202">
        <f>IF(J202="Sí","Cobrado",IF(I202&lt;Dashboard!$B$1,"Vencido","Al día"))</f>
        <v/>
      </c>
    </row>
    <row r="203">
      <c r="A203" s="3" t="n">
        <v>46272</v>
      </c>
      <c r="B203" t="inlineStr">
        <is>
          <t>Colegio Nuevo Horizonte</t>
        </is>
      </c>
      <c r="C203" t="inlineStr">
        <is>
          <t>Tomás Gil</t>
        </is>
      </c>
      <c r="D203" t="inlineStr">
        <is>
          <t>PAP-210</t>
        </is>
      </c>
      <c r="E203" t="n">
        <v>10</v>
      </c>
      <c r="F203" s="4" t="n">
        <v>6200</v>
      </c>
      <c r="G203" s="5" t="n">
        <v>0.05</v>
      </c>
      <c r="H203" s="4" t="n">
        <v>58900</v>
      </c>
      <c r="I203" s="3" t="n">
        <v>46326</v>
      </c>
      <c r="J203" t="inlineStr">
        <is>
          <t>No</t>
        </is>
      </c>
      <c r="K203">
        <f>IF(J203="Sí","Cobrado",IF(I203&lt;Dashboard!$B$1,"Vencido","Al día"))</f>
        <v/>
      </c>
    </row>
    <row r="204">
      <c r="A204" s="3" t="n">
        <v>46273</v>
      </c>
      <c r="B204" t="inlineStr">
        <is>
          <t>Kiosco La Esquina</t>
        </is>
      </c>
      <c r="C204" t="inlineStr">
        <is>
          <t>Tomás Gil</t>
        </is>
      </c>
      <c r="D204" t="inlineStr">
        <is>
          <t>LIM-040</t>
        </is>
      </c>
      <c r="E204" t="n">
        <v>15</v>
      </c>
      <c r="F204" s="4" t="n">
        <v>9800</v>
      </c>
      <c r="G204" s="5" t="n">
        <v>0.1</v>
      </c>
      <c r="H204" s="4" t="n">
        <v>132300</v>
      </c>
      <c r="I204" s="3" t="n">
        <v>46326</v>
      </c>
      <c r="J204" t="inlineStr">
        <is>
          <t>No</t>
        </is>
      </c>
      <c r="K204">
        <f>IF(J204="Sí","Cobrado",IF(I204&lt;Dashboard!$B$1,"Vencido","Al día"))</f>
        <v/>
      </c>
    </row>
    <row r="205">
      <c r="A205" s="3" t="n">
        <v>46274</v>
      </c>
      <c r="B205" t="inlineStr">
        <is>
          <t>Colegio Nuevo Horizonte</t>
        </is>
      </c>
      <c r="C205" t="inlineStr">
        <is>
          <t>Carla Ruiz</t>
        </is>
      </c>
      <c r="D205" t="inlineStr">
        <is>
          <t>PAP-200</t>
        </is>
      </c>
      <c r="E205" t="n">
        <v>300</v>
      </c>
      <c r="F205" s="4" t="n">
        <v>4500</v>
      </c>
      <c r="G205" s="5" t="n">
        <v>0.1</v>
      </c>
      <c r="H205" s="4" t="n">
        <v>1215000</v>
      </c>
      <c r="I205" s="3" t="n">
        <v>46326</v>
      </c>
      <c r="J205" t="inlineStr">
        <is>
          <t>No</t>
        </is>
      </c>
      <c r="K205">
        <f>IF(J205="Sí","Cobrado",IF(I205&lt;Dashboard!$B$1,"Vencido","Al día"))</f>
        <v/>
      </c>
    </row>
    <row r="206">
      <c r="A206" s="3" t="n">
        <v>46274</v>
      </c>
      <c r="B206" t="inlineStr">
        <is>
          <t>Hotel Mirador</t>
        </is>
      </c>
      <c r="C206" t="inlineStr">
        <is>
          <t>Carla Ruiz</t>
        </is>
      </c>
      <c r="D206" t="inlineStr">
        <is>
          <t>LIM-010</t>
        </is>
      </c>
      <c r="E206" t="n">
        <v>50</v>
      </c>
      <c r="F206" s="4" t="n">
        <v>2400</v>
      </c>
      <c r="G206" s="5" t="n">
        <v>0.1</v>
      </c>
      <c r="H206" s="4" t="n">
        <v>108000</v>
      </c>
      <c r="I206" s="3" t="n">
        <v>46326</v>
      </c>
      <c r="J206" t="inlineStr">
        <is>
          <t>Sí</t>
        </is>
      </c>
      <c r="K206">
        <f>IF(J206="Sí","Cobrado",IF(I206&lt;Dashboard!$B$1,"Vencido","Al día"))</f>
        <v/>
      </c>
    </row>
    <row r="207">
      <c r="A207" s="3" t="n">
        <v>46275</v>
      </c>
      <c r="B207" t="inlineStr">
        <is>
          <t>Colegio Nuevo Horizonte</t>
        </is>
      </c>
      <c r="C207" t="inlineStr">
        <is>
          <t>Tomás Gil</t>
        </is>
      </c>
      <c r="D207" t="inlineStr">
        <is>
          <t>PAP-200</t>
        </is>
      </c>
      <c r="E207" t="n">
        <v>10</v>
      </c>
      <c r="F207" s="4" t="n">
        <v>4500</v>
      </c>
      <c r="G207" s="5" t="n">
        <v>0.05</v>
      </c>
      <c r="H207" s="4" t="n">
        <v>42750</v>
      </c>
      <c r="I207" s="3" t="n">
        <v>46326</v>
      </c>
      <c r="J207" t="inlineStr">
        <is>
          <t>Sí</t>
        </is>
      </c>
      <c r="K207">
        <f>IF(J207="Sí","Cobrado",IF(I207&lt;Dashboard!$B$1,"Vencido","Al día"))</f>
        <v/>
      </c>
    </row>
    <row r="208">
      <c r="A208" s="3" t="n">
        <v>46275</v>
      </c>
      <c r="B208" t="inlineStr">
        <is>
          <t>Kiosco La Esquina</t>
        </is>
      </c>
      <c r="C208" t="inlineStr">
        <is>
          <t>Carla Ruiz</t>
        </is>
      </c>
      <c r="D208" t="inlineStr">
        <is>
          <t>PAP-200</t>
        </is>
      </c>
      <c r="E208" t="n">
        <v>60</v>
      </c>
      <c r="F208" s="4" t="n">
        <v>4500</v>
      </c>
      <c r="G208" s="5" t="n">
        <v>0.1</v>
      </c>
      <c r="H208" s="4" t="n">
        <v>243000</v>
      </c>
      <c r="I208" s="3" t="n">
        <v>46326</v>
      </c>
      <c r="J208" t="inlineStr">
        <is>
          <t>Sí</t>
        </is>
      </c>
      <c r="K208">
        <f>IF(J208="Sí","Cobrado",IF(I208&lt;Dashboard!$B$1,"Vencido","Al día"))</f>
        <v/>
      </c>
    </row>
    <row r="209">
      <c r="A209" s="3" t="n">
        <v>46276</v>
      </c>
      <c r="B209" t="inlineStr">
        <is>
          <t>Hotel Mirador</t>
        </is>
      </c>
      <c r="C209" t="inlineStr">
        <is>
          <t>Carla Ruiz</t>
        </is>
      </c>
      <c r="D209" t="inlineStr">
        <is>
          <t>LIM-020</t>
        </is>
      </c>
      <c r="E209" t="n">
        <v>120</v>
      </c>
      <c r="F209" s="4" t="n">
        <v>3100</v>
      </c>
      <c r="G209" s="5" t="n">
        <v>0.1</v>
      </c>
      <c r="H209" s="4" t="n">
        <v>334800</v>
      </c>
      <c r="I209" s="3" t="n">
        <v>46326</v>
      </c>
      <c r="J209" t="inlineStr">
        <is>
          <t>Sí</t>
        </is>
      </c>
      <c r="K209">
        <f>IF(J209="Sí","Cobrado",IF(I209&lt;Dashboard!$B$1,"Vencido","Al día"))</f>
        <v/>
      </c>
    </row>
    <row r="210">
      <c r="A210" s="3" t="n">
        <v>46279</v>
      </c>
      <c r="B210" t="inlineStr">
        <is>
          <t>Librería San Martín Srl</t>
        </is>
      </c>
      <c r="C210" t="inlineStr">
        <is>
          <t>Carla Ruiz</t>
        </is>
      </c>
      <c r="D210" t="inlineStr">
        <is>
          <t>LIM-030</t>
        </is>
      </c>
      <c r="E210" t="n">
        <v>12</v>
      </c>
      <c r="F210" s="4" t="n">
        <v>1150</v>
      </c>
      <c r="G210" s="5" t="n">
        <v>0</v>
      </c>
      <c r="H210" s="4" t="n">
        <v>13800</v>
      </c>
      <c r="I210" s="3" t="n">
        <v>46326</v>
      </c>
      <c r="J210" t="inlineStr">
        <is>
          <t>Sí</t>
        </is>
      </c>
      <c r="K210">
        <f>IF(J210="Sí","Cobrado",IF(I210&lt;Dashboard!$B$1,"Vencido","Al día"))</f>
        <v/>
      </c>
    </row>
    <row r="211">
      <c r="A211" s="3" t="n">
        <v>46280</v>
      </c>
      <c r="B211" t="inlineStr">
        <is>
          <t>Kiosco La Esquina</t>
        </is>
      </c>
      <c r="C211" t="inlineStr">
        <is>
          <t>Tomás Gil</t>
        </is>
      </c>
      <c r="D211" t="inlineStr">
        <is>
          <t>LIM-030</t>
        </is>
      </c>
      <c r="E211" t="n">
        <v>25</v>
      </c>
      <c r="F211" s="4" t="n">
        <v>1150</v>
      </c>
      <c r="G211" s="5" t="n">
        <v>0</v>
      </c>
      <c r="H211" s="4" t="n">
        <v>28750</v>
      </c>
      <c r="I211" s="3" t="n">
        <v>46326</v>
      </c>
      <c r="J211" t="inlineStr">
        <is>
          <t>No</t>
        </is>
      </c>
      <c r="K211">
        <f>IF(J211="Sí","Cobrado",IF(I211&lt;Dashboard!$B$1,"Vencido","Al día"))</f>
        <v/>
      </c>
    </row>
    <row r="212">
      <c r="A212" s="3" t="n">
        <v>46281</v>
      </c>
      <c r="B212" t="inlineStr">
        <is>
          <t>Ferretería El Tornillo</t>
        </is>
      </c>
      <c r="C212" t="inlineStr">
        <is>
          <t>Tomás Gil</t>
        </is>
      </c>
      <c r="D212" t="inlineStr">
        <is>
          <t>LIM-020</t>
        </is>
      </c>
      <c r="E212" t="n">
        <v>15</v>
      </c>
      <c r="F212" s="4" t="n">
        <v>3100</v>
      </c>
      <c r="G212" s="5" t="n">
        <v>0.05</v>
      </c>
      <c r="H212" s="4" t="n">
        <v>44175</v>
      </c>
      <c r="I212" s="3" t="n">
        <v>46326</v>
      </c>
      <c r="J212" t="inlineStr">
        <is>
          <t>Sí</t>
        </is>
      </c>
      <c r="K212">
        <f>IF(J212="Sí","Cobrado",IF(I212&lt;Dashboard!$B$1,"Vencido","Al día"))</f>
        <v/>
      </c>
    </row>
    <row r="213">
      <c r="A213" s="3" t="n">
        <v>46282</v>
      </c>
      <c r="B213" t="inlineStr">
        <is>
          <t>Kiosco La Esquina</t>
        </is>
      </c>
      <c r="C213" t="inlineStr">
        <is>
          <t>Carla Ruiz</t>
        </is>
      </c>
      <c r="D213" t="inlineStr">
        <is>
          <t>LIM-030</t>
        </is>
      </c>
      <c r="E213" t="n">
        <v>80</v>
      </c>
      <c r="F213" s="4" t="n">
        <v>1150</v>
      </c>
      <c r="G213" s="5" t="n">
        <v>0.05</v>
      </c>
      <c r="H213" s="4" t="n">
        <v>87400</v>
      </c>
      <c r="I213" s="3" t="n">
        <v>46326</v>
      </c>
      <c r="J213" t="inlineStr">
        <is>
          <t>No</t>
        </is>
      </c>
      <c r="K213">
        <f>IF(J213="Sí","Cobrado",IF(I213&lt;Dashboard!$B$1,"Vencido","Al día"))</f>
        <v/>
      </c>
    </row>
    <row r="214">
      <c r="A214" s="3" t="n">
        <v>46282</v>
      </c>
      <c r="B214" t="inlineStr">
        <is>
          <t>Ferretería El Tornillo</t>
        </is>
      </c>
      <c r="C214" t="inlineStr">
        <is>
          <t>Carla Ruiz</t>
        </is>
      </c>
      <c r="D214" t="inlineStr">
        <is>
          <t>PAP-200</t>
        </is>
      </c>
      <c r="E214" t="n">
        <v>10</v>
      </c>
      <c r="F214" s="4" t="n">
        <v>4500</v>
      </c>
      <c r="G214" s="5" t="n">
        <v>0.05</v>
      </c>
      <c r="H214" s="4" t="n">
        <v>42750</v>
      </c>
      <c r="I214" s="3" t="n">
        <v>46326</v>
      </c>
      <c r="J214" t="inlineStr">
        <is>
          <t>No</t>
        </is>
      </c>
      <c r="K214">
        <f>IF(J214="Sí","Cobrado",IF(I214&lt;Dashboard!$B$1,"Vencido","Al día"))</f>
        <v/>
      </c>
    </row>
    <row r="215">
      <c r="A215" s="3" t="n">
        <v>46283</v>
      </c>
      <c r="B215" t="inlineStr">
        <is>
          <t>Colegio Nuevo Horizonte</t>
        </is>
      </c>
      <c r="C215" t="inlineStr">
        <is>
          <t>Diego Paz</t>
        </is>
      </c>
      <c r="D215" t="inlineStr">
        <is>
          <t>LIM-030</t>
        </is>
      </c>
      <c r="E215" t="n">
        <v>20</v>
      </c>
      <c r="F215" s="4" t="n">
        <v>1150</v>
      </c>
      <c r="G215" s="5" t="n">
        <v>0</v>
      </c>
      <c r="H215" s="4" t="n">
        <v>23000</v>
      </c>
      <c r="I215" s="3" t="n">
        <v>46326</v>
      </c>
      <c r="J215" t="inlineStr">
        <is>
          <t>No</t>
        </is>
      </c>
      <c r="K215">
        <f>IF(J215="Sí","Cobrado",IF(I215&lt;Dashboard!$B$1,"Vencido","Al día"))</f>
        <v/>
      </c>
    </row>
    <row r="216">
      <c r="A216" s="3" t="n">
        <v>46286</v>
      </c>
      <c r="B216" t="inlineStr">
        <is>
          <t>Hotel Mirador</t>
        </is>
      </c>
      <c r="C216" t="inlineStr">
        <is>
          <t>Carla Ruiz</t>
        </is>
      </c>
      <c r="D216" t="inlineStr">
        <is>
          <t>LIM-040</t>
        </is>
      </c>
      <c r="E216" t="n">
        <v>30</v>
      </c>
      <c r="F216" s="4" t="n">
        <v>9800</v>
      </c>
      <c r="G216" s="5" t="n">
        <v>0.1</v>
      </c>
      <c r="H216" s="4" t="n">
        <v>264600</v>
      </c>
      <c r="I216" s="3" t="n">
        <v>46326</v>
      </c>
      <c r="J216" t="inlineStr">
        <is>
          <t>No</t>
        </is>
      </c>
      <c r="K216">
        <f>IF(J216="Sí","Cobrado",IF(I216&lt;Dashboard!$B$1,"Vencido","Al día"))</f>
        <v/>
      </c>
    </row>
    <row r="217">
      <c r="A217" s="3" t="n">
        <v>46286</v>
      </c>
      <c r="B217" t="inlineStr">
        <is>
          <t>Kiosco La Esquina</t>
        </is>
      </c>
      <c r="C217" t="inlineStr">
        <is>
          <t>Tomás Gil</t>
        </is>
      </c>
      <c r="D217" t="inlineStr">
        <is>
          <t>PAP-210</t>
        </is>
      </c>
      <c r="E217" t="n">
        <v>15</v>
      </c>
      <c r="F217" s="4" t="n">
        <v>6200</v>
      </c>
      <c r="G217" s="5" t="n">
        <v>0.05</v>
      </c>
      <c r="H217" s="4" t="n">
        <v>88350</v>
      </c>
      <c r="I217" s="3" t="n">
        <v>46326</v>
      </c>
      <c r="J217" t="inlineStr">
        <is>
          <t>Sí</t>
        </is>
      </c>
      <c r="K217">
        <f>IF(J217="Sí","Cobrado",IF(I217&lt;Dashboard!$B$1,"Vencido","Al día"))</f>
        <v/>
      </c>
    </row>
    <row r="218">
      <c r="A218" s="3" t="n">
        <v>46287</v>
      </c>
      <c r="B218" t="inlineStr">
        <is>
          <t>Colegio Nuevo Horizonte</t>
        </is>
      </c>
      <c r="C218" t="inlineStr">
        <is>
          <t>Carla Ruiz</t>
        </is>
      </c>
      <c r="D218" t="inlineStr">
        <is>
          <t>LIM-030</t>
        </is>
      </c>
      <c r="E218" t="n">
        <v>15</v>
      </c>
      <c r="F218" s="4" t="n">
        <v>1150</v>
      </c>
      <c r="G218" s="5" t="n">
        <v>0</v>
      </c>
      <c r="H218" s="4" t="n">
        <v>17250</v>
      </c>
      <c r="I218" s="3" t="n">
        <v>46326</v>
      </c>
      <c r="J218" t="inlineStr">
        <is>
          <t>Sí</t>
        </is>
      </c>
      <c r="K218">
        <f>IF(J218="Sí","Cobrado",IF(I218&lt;Dashboard!$B$1,"Vencido","Al día"))</f>
        <v/>
      </c>
    </row>
    <row r="219">
      <c r="A219" s="3" t="n">
        <v>46287</v>
      </c>
      <c r="B219" t="inlineStr">
        <is>
          <t>Ferretería El Tornillo</t>
        </is>
      </c>
      <c r="C219" t="inlineStr">
        <is>
          <t>Tomás Gil</t>
        </is>
      </c>
      <c r="D219" t="inlineStr">
        <is>
          <t>LIM-030</t>
        </is>
      </c>
      <c r="E219" t="n">
        <v>120</v>
      </c>
      <c r="F219" s="4" t="n">
        <v>1150</v>
      </c>
      <c r="G219" s="5" t="n">
        <v>0.1</v>
      </c>
      <c r="H219" s="4" t="n">
        <v>124200</v>
      </c>
      <c r="I219" s="3" t="n">
        <v>46326</v>
      </c>
      <c r="J219" t="inlineStr">
        <is>
          <t>Sí</t>
        </is>
      </c>
      <c r="K219">
        <f>IF(J219="Sí","Cobrado",IF(I219&lt;Dashboard!$B$1,"Vencido","Al día"))</f>
        <v/>
      </c>
    </row>
    <row r="220">
      <c r="A220" s="3" t="n">
        <v>46288</v>
      </c>
      <c r="B220" t="inlineStr">
        <is>
          <t>Librería San Martín Srl</t>
        </is>
      </c>
      <c r="C220" t="inlineStr">
        <is>
          <t>Diego Paz</t>
        </is>
      </c>
      <c r="D220" t="inlineStr">
        <is>
          <t>PAP-220</t>
        </is>
      </c>
      <c r="E220" t="n">
        <v>40</v>
      </c>
      <c r="F220" s="4" t="n">
        <v>3900</v>
      </c>
      <c r="G220" s="5" t="n">
        <v>0.1</v>
      </c>
      <c r="H220" s="4" t="n">
        <v>140400</v>
      </c>
      <c r="I220" s="3" t="n">
        <v>46326</v>
      </c>
      <c r="J220" t="inlineStr">
        <is>
          <t>Sí</t>
        </is>
      </c>
      <c r="K220">
        <f>IF(J220="Sí","Cobrado",IF(I220&lt;Dashboard!$B$1,"Vencido","Al día"))</f>
        <v/>
      </c>
    </row>
    <row r="221">
      <c r="A221" s="3" t="n">
        <v>46288</v>
      </c>
      <c r="B221" t="inlineStr">
        <is>
          <t>Ferretería El Tornillo</t>
        </is>
      </c>
      <c r="C221" t="inlineStr">
        <is>
          <t>Diego Paz</t>
        </is>
      </c>
      <c r="D221" t="inlineStr">
        <is>
          <t>LIM-020</t>
        </is>
      </c>
      <c r="E221" t="n">
        <v>60</v>
      </c>
      <c r="F221" s="4" t="n">
        <v>3100</v>
      </c>
      <c r="G221" s="5" t="n">
        <v>0.1</v>
      </c>
      <c r="H221" s="4" t="n">
        <v>167400</v>
      </c>
      <c r="I221" s="3" t="n">
        <v>46326</v>
      </c>
      <c r="J221" t="inlineStr">
        <is>
          <t>No</t>
        </is>
      </c>
      <c r="K221">
        <f>IF(J221="Sí","Cobrado",IF(I221&lt;Dashboard!$B$1,"Vencido","Al día"))</f>
        <v/>
      </c>
    </row>
    <row r="222">
      <c r="A222" s="3" t="n">
        <v>46289</v>
      </c>
      <c r="B222" t="inlineStr">
        <is>
          <t>Kiosco La Esquina</t>
        </is>
      </c>
      <c r="C222" t="inlineStr">
        <is>
          <t>Diego Paz</t>
        </is>
      </c>
      <c r="D222" t="inlineStr">
        <is>
          <t>LIM-010</t>
        </is>
      </c>
      <c r="E222" t="n">
        <v>100</v>
      </c>
      <c r="F222" s="4" t="n">
        <v>2400</v>
      </c>
      <c r="G222" s="5" t="n">
        <v>0.1</v>
      </c>
      <c r="H222" s="4" t="n">
        <v>216000</v>
      </c>
      <c r="I222" s="3" t="n">
        <v>46326</v>
      </c>
      <c r="J222" t="inlineStr">
        <is>
          <t>Sí</t>
        </is>
      </c>
      <c r="K222">
        <f>IF(J222="Sí","Cobrado",IF(I222&lt;Dashboard!$B$1,"Vencido","Al día"))</f>
        <v/>
      </c>
    </row>
    <row r="223">
      <c r="A223" s="3" t="n">
        <v>46290</v>
      </c>
      <c r="B223" t="inlineStr">
        <is>
          <t>Colegio Nuevo Horizonte</t>
        </is>
      </c>
      <c r="C223" t="inlineStr">
        <is>
          <t>Carla Ruiz</t>
        </is>
      </c>
      <c r="D223" t="inlineStr">
        <is>
          <t>LIM-030</t>
        </is>
      </c>
      <c r="E223" t="n">
        <v>15</v>
      </c>
      <c r="F223" s="4" t="n">
        <v>1150</v>
      </c>
      <c r="G223" s="5" t="n">
        <v>0</v>
      </c>
      <c r="H223" s="4" t="n">
        <v>17250</v>
      </c>
      <c r="I223" s="3" t="n">
        <v>46326</v>
      </c>
      <c r="J223" t="inlineStr">
        <is>
          <t>No</t>
        </is>
      </c>
      <c r="K223">
        <f>IF(J223="Sí","Cobrado",IF(I223&lt;Dashboard!$B$1,"Vencido","Al día"))</f>
        <v/>
      </c>
    </row>
    <row r="224">
      <c r="A224" s="3" t="n">
        <v>46293</v>
      </c>
      <c r="B224" t="inlineStr">
        <is>
          <t>Librería San Martín Srl</t>
        </is>
      </c>
      <c r="C224" t="inlineStr">
        <is>
          <t>Carla Ruiz</t>
        </is>
      </c>
      <c r="D224" t="inlineStr">
        <is>
          <t>LIM-020</t>
        </is>
      </c>
      <c r="E224" t="n">
        <v>25</v>
      </c>
      <c r="F224" s="4" t="n">
        <v>3100</v>
      </c>
      <c r="G224" s="5" t="n">
        <v>0.05</v>
      </c>
      <c r="H224" s="4" t="n">
        <v>73625</v>
      </c>
      <c r="I224" s="3" t="n">
        <v>46326</v>
      </c>
      <c r="J224" t="inlineStr">
        <is>
          <t>Sí</t>
        </is>
      </c>
      <c r="K224">
        <f>IF(J224="Sí","Cobrado",IF(I224&lt;Dashboard!$B$1,"Vencido","Al día"))</f>
        <v/>
      </c>
    </row>
    <row r="225">
      <c r="A225" s="3" t="n">
        <v>46295</v>
      </c>
      <c r="B225" t="inlineStr">
        <is>
          <t>Hotel Mirador</t>
        </is>
      </c>
      <c r="C225" t="inlineStr">
        <is>
          <t>Diego Paz</t>
        </is>
      </c>
      <c r="D225" t="inlineStr">
        <is>
          <t>LIM-040</t>
        </is>
      </c>
      <c r="E225" t="n">
        <v>12</v>
      </c>
      <c r="F225" s="4" t="n">
        <v>9800</v>
      </c>
      <c r="G225" s="5" t="n">
        <v>0.1</v>
      </c>
      <c r="H225" s="4" t="n">
        <v>105840</v>
      </c>
      <c r="I225" s="3" t="n">
        <v>46326</v>
      </c>
      <c r="J225" t="inlineStr">
        <is>
          <t>No</t>
        </is>
      </c>
      <c r="K225">
        <f>IF(J225="Sí","Cobrado",IF(I225&lt;Dashboard!$B$1,"Vencido","Al día"))</f>
        <v/>
      </c>
    </row>
    <row r="226">
      <c r="A226" s="3" t="n">
        <v>46296</v>
      </c>
      <c r="B226" t="inlineStr">
        <is>
          <t>Colegio Nuevo Horizonte</t>
        </is>
      </c>
      <c r="C226" t="inlineStr">
        <is>
          <t>Carla Ruiz</t>
        </is>
      </c>
      <c r="D226" t="inlineStr">
        <is>
          <t>PAP-220</t>
        </is>
      </c>
      <c r="E226" t="n">
        <v>100</v>
      </c>
      <c r="F226" s="4" t="n">
        <v>3900</v>
      </c>
      <c r="G226" s="5" t="n">
        <v>0.1</v>
      </c>
      <c r="H226" s="4" t="n">
        <v>351000</v>
      </c>
      <c r="I226" s="3" t="n">
        <v>46356</v>
      </c>
      <c r="J226" t="inlineStr">
        <is>
          <t>No</t>
        </is>
      </c>
      <c r="K226">
        <f>IF(J226="Sí","Cobrado",IF(I226&lt;Dashboard!$B$1,"Vencido","Al día"))</f>
        <v/>
      </c>
    </row>
    <row r="227">
      <c r="A227" s="3" t="n">
        <v>46297</v>
      </c>
      <c r="B227" t="inlineStr">
        <is>
          <t>Ferretería El Tornillo</t>
        </is>
      </c>
      <c r="C227" t="inlineStr">
        <is>
          <t>Tomás Gil</t>
        </is>
      </c>
      <c r="D227" t="inlineStr">
        <is>
          <t>LIM-020</t>
        </is>
      </c>
      <c r="E227" t="n">
        <v>20</v>
      </c>
      <c r="F227" s="4" t="n">
        <v>3100</v>
      </c>
      <c r="G227" s="5" t="n">
        <v>0.05</v>
      </c>
      <c r="H227" s="4" t="n">
        <v>58900</v>
      </c>
      <c r="I227" s="3" t="n">
        <v>46356</v>
      </c>
      <c r="J227" t="inlineStr">
        <is>
          <t>No</t>
        </is>
      </c>
      <c r="K227">
        <f>IF(J227="Sí","Cobrado",IF(I227&lt;Dashboard!$B$1,"Vencido","Al día"))</f>
        <v/>
      </c>
    </row>
    <row r="228">
      <c r="A228" s="3" t="n">
        <v>46300</v>
      </c>
      <c r="B228" t="inlineStr">
        <is>
          <t>Ferretería El Tornillo</t>
        </is>
      </c>
      <c r="C228" t="inlineStr">
        <is>
          <t>Diego Paz</t>
        </is>
      </c>
      <c r="D228" t="inlineStr">
        <is>
          <t>PAP-220</t>
        </is>
      </c>
      <c r="E228" t="n">
        <v>60</v>
      </c>
      <c r="F228" s="4" t="n">
        <v>3900</v>
      </c>
      <c r="G228" s="5" t="n">
        <v>0.1</v>
      </c>
      <c r="H228" s="4" t="n">
        <v>210600</v>
      </c>
      <c r="I228" s="3" t="n">
        <v>46356</v>
      </c>
      <c r="J228" t="inlineStr">
        <is>
          <t>No</t>
        </is>
      </c>
      <c r="K228">
        <f>IF(J228="Sí","Cobrado",IF(I228&lt;Dashboard!$B$1,"Vencido","Al día"))</f>
        <v/>
      </c>
    </row>
    <row r="229">
      <c r="A229" s="3" t="n">
        <v>46301</v>
      </c>
      <c r="B229" t="inlineStr">
        <is>
          <t>Colegio Nuevo Horizonte</t>
        </is>
      </c>
      <c r="C229" t="inlineStr">
        <is>
          <t>Carla Ruiz</t>
        </is>
      </c>
      <c r="D229" t="inlineStr">
        <is>
          <t>PAP-220</t>
        </is>
      </c>
      <c r="E229" t="n">
        <v>150</v>
      </c>
      <c r="F229" s="4" t="n">
        <v>3900</v>
      </c>
      <c r="G229" s="5" t="n">
        <v>0.1</v>
      </c>
      <c r="H229" s="4" t="n">
        <v>526500</v>
      </c>
      <c r="I229" s="3" t="n">
        <v>46356</v>
      </c>
      <c r="J229" t="inlineStr">
        <is>
          <t>No</t>
        </is>
      </c>
      <c r="K229">
        <f>IF(J229="Sí","Cobrado",IF(I229&lt;Dashboard!$B$1,"Vencido","Al día"))</f>
        <v/>
      </c>
    </row>
    <row r="230">
      <c r="A230" s="3" t="n">
        <v>46302</v>
      </c>
      <c r="B230" t="inlineStr">
        <is>
          <t>Colegio Nuevo Horizonte</t>
        </is>
      </c>
      <c r="C230" t="inlineStr">
        <is>
          <t>Diego Paz</t>
        </is>
      </c>
      <c r="D230" t="inlineStr">
        <is>
          <t>LIM-020</t>
        </is>
      </c>
      <c r="E230" t="n">
        <v>60</v>
      </c>
      <c r="F230" s="4" t="n">
        <v>3100</v>
      </c>
      <c r="G230" s="5" t="n">
        <v>0.1</v>
      </c>
      <c r="H230" s="4" t="n">
        <v>167400</v>
      </c>
      <c r="I230" s="3" t="n">
        <v>46356</v>
      </c>
      <c r="J230" t="inlineStr">
        <is>
          <t>No</t>
        </is>
      </c>
      <c r="K230">
        <f>IF(J230="Sí","Cobrado",IF(I230&lt;Dashboard!$B$1,"Vencido","Al día"))</f>
        <v/>
      </c>
    </row>
    <row r="231">
      <c r="A231" s="3" t="n">
        <v>46303</v>
      </c>
      <c r="B231" t="inlineStr">
        <is>
          <t>Kiosco La Esquina</t>
        </is>
      </c>
      <c r="C231" t="inlineStr">
        <is>
          <t>Diego Paz</t>
        </is>
      </c>
      <c r="D231" t="inlineStr">
        <is>
          <t>LIM-020</t>
        </is>
      </c>
      <c r="E231" t="n">
        <v>40</v>
      </c>
      <c r="F231" s="4" t="n">
        <v>3100</v>
      </c>
      <c r="G231" s="5" t="n">
        <v>0.1</v>
      </c>
      <c r="H231" s="4" t="n">
        <v>111600</v>
      </c>
      <c r="I231" s="3" t="n">
        <v>46356</v>
      </c>
      <c r="J231" t="inlineStr">
        <is>
          <t>No</t>
        </is>
      </c>
      <c r="K231">
        <f>IF(J231="Sí","Cobrado",IF(I231&lt;Dashboard!$B$1,"Vencido","Al día"))</f>
        <v/>
      </c>
    </row>
    <row r="232">
      <c r="A232" s="3" t="n">
        <v>46307</v>
      </c>
      <c r="B232" t="inlineStr">
        <is>
          <t>Colegio Nuevo Horizonte</t>
        </is>
      </c>
      <c r="C232" t="inlineStr">
        <is>
          <t>Diego Paz</t>
        </is>
      </c>
      <c r="D232" t="inlineStr">
        <is>
          <t>PAP-220</t>
        </is>
      </c>
      <c r="E232" t="n">
        <v>40</v>
      </c>
      <c r="F232" s="4" t="n">
        <v>3900</v>
      </c>
      <c r="G232" s="5" t="n">
        <v>0.1</v>
      </c>
      <c r="H232" s="4" t="n">
        <v>140400</v>
      </c>
      <c r="I232" s="3" t="n">
        <v>46356</v>
      </c>
      <c r="J232" t="inlineStr">
        <is>
          <t>No</t>
        </is>
      </c>
      <c r="K232">
        <f>IF(J232="Sí","Cobrado",IF(I232&lt;Dashboard!$B$1,"Vencido","Al día"))</f>
        <v/>
      </c>
    </row>
    <row r="233">
      <c r="A233" s="3" t="n">
        <v>46307</v>
      </c>
      <c r="B233" t="inlineStr">
        <is>
          <t>Kiosco La Esquina</t>
        </is>
      </c>
      <c r="C233" t="inlineStr">
        <is>
          <t>Diego Paz</t>
        </is>
      </c>
      <c r="D233" t="inlineStr">
        <is>
          <t>LIM-030</t>
        </is>
      </c>
      <c r="E233" t="n">
        <v>15</v>
      </c>
      <c r="F233" s="4" t="n">
        <v>1150</v>
      </c>
      <c r="G233" s="5" t="n">
        <v>0</v>
      </c>
      <c r="H233" s="4" t="n">
        <v>17250</v>
      </c>
      <c r="I233" s="3" t="n">
        <v>46356</v>
      </c>
      <c r="J233" t="inlineStr">
        <is>
          <t>No</t>
        </is>
      </c>
      <c r="K233">
        <f>IF(J233="Sí","Cobrado",IF(I233&lt;Dashboard!$B$1,"Vencido","Al día"))</f>
        <v/>
      </c>
    </row>
    <row r="234">
      <c r="A234" s="3" t="n">
        <v>46308</v>
      </c>
      <c r="B234" t="inlineStr">
        <is>
          <t>Hotel Mirador</t>
        </is>
      </c>
      <c r="C234" t="inlineStr">
        <is>
          <t>Carla Ruiz</t>
        </is>
      </c>
      <c r="D234" t="inlineStr">
        <is>
          <t>PAP-200</t>
        </is>
      </c>
      <c r="E234" t="n">
        <v>80</v>
      </c>
      <c r="F234" s="4" t="n">
        <v>4500</v>
      </c>
      <c r="G234" s="5" t="n">
        <v>0.1</v>
      </c>
      <c r="H234" s="4" t="n">
        <v>324000</v>
      </c>
      <c r="I234" s="3" t="n">
        <v>46356</v>
      </c>
      <c r="J234" t="inlineStr">
        <is>
          <t>No</t>
        </is>
      </c>
      <c r="K234">
        <f>IF(J234="Sí","Cobrado",IF(I234&lt;Dashboard!$B$1,"Vencido","Al día"))</f>
        <v/>
      </c>
    </row>
    <row r="235">
      <c r="A235" s="3" t="n">
        <v>46309</v>
      </c>
      <c r="B235" t="inlineStr">
        <is>
          <t>Hotel Mirador</t>
        </is>
      </c>
      <c r="C235" t="inlineStr">
        <is>
          <t>Tomás Gil</t>
        </is>
      </c>
      <c r="D235" t="inlineStr">
        <is>
          <t>LIM-040</t>
        </is>
      </c>
      <c r="E235" t="n">
        <v>30</v>
      </c>
      <c r="F235" s="4" t="n">
        <v>9800</v>
      </c>
      <c r="G235" s="5" t="n">
        <v>0.1</v>
      </c>
      <c r="H235" s="4" t="n">
        <v>264600</v>
      </c>
      <c r="I235" s="3" t="n">
        <v>46356</v>
      </c>
      <c r="J235" t="inlineStr">
        <is>
          <t>No</t>
        </is>
      </c>
      <c r="K235">
        <f>IF(J235="Sí","Cobrado",IF(I235&lt;Dashboard!$B$1,"Vencido","Al día"))</f>
        <v/>
      </c>
    </row>
    <row r="236">
      <c r="A236" s="3" t="n">
        <v>46310</v>
      </c>
      <c r="B236" t="inlineStr">
        <is>
          <t>Hotel Mirador</t>
        </is>
      </c>
      <c r="C236" t="inlineStr">
        <is>
          <t>Tomás Gil</t>
        </is>
      </c>
      <c r="D236" t="inlineStr">
        <is>
          <t>LIM-040</t>
        </is>
      </c>
      <c r="E236" t="n">
        <v>15</v>
      </c>
      <c r="F236" s="4" t="n">
        <v>9800</v>
      </c>
      <c r="G236" s="5" t="n">
        <v>0.1</v>
      </c>
      <c r="H236" s="4" t="n">
        <v>132300</v>
      </c>
      <c r="I236" s="3" t="n">
        <v>46356</v>
      </c>
      <c r="J236" t="inlineStr">
        <is>
          <t>No</t>
        </is>
      </c>
      <c r="K236">
        <f>IF(J236="Sí","Cobrado",IF(I236&lt;Dashboard!$B$1,"Vencido","Al día"))</f>
        <v/>
      </c>
    </row>
    <row r="237">
      <c r="A237" s="3" t="n">
        <v>46311</v>
      </c>
      <c r="B237" t="inlineStr">
        <is>
          <t>Librería San Martín Srl</t>
        </is>
      </c>
      <c r="C237" t="inlineStr">
        <is>
          <t>Diego Paz</t>
        </is>
      </c>
      <c r="D237" t="inlineStr">
        <is>
          <t>LIM-040</t>
        </is>
      </c>
      <c r="E237" t="n">
        <v>80</v>
      </c>
      <c r="F237" s="4" t="n">
        <v>9800</v>
      </c>
      <c r="G237" s="5" t="n">
        <v>0.1</v>
      </c>
      <c r="H237" s="4" t="n">
        <v>705600</v>
      </c>
      <c r="I237" s="3" t="n">
        <v>46356</v>
      </c>
      <c r="J237" t="inlineStr">
        <is>
          <t>No</t>
        </is>
      </c>
      <c r="K237">
        <f>IF(J237="Sí","Cobrado",IF(I237&lt;Dashboard!$B$1,"Vencido","Al día"))</f>
        <v/>
      </c>
    </row>
    <row r="238">
      <c r="A238" s="3" t="n">
        <v>46316</v>
      </c>
      <c r="B238" t="inlineStr">
        <is>
          <t>Kiosco La Esquina</t>
        </is>
      </c>
      <c r="C238" t="inlineStr">
        <is>
          <t>Tomás Gil</t>
        </is>
      </c>
      <c r="D238" t="inlineStr">
        <is>
          <t>LIM-030</t>
        </is>
      </c>
      <c r="E238" t="n">
        <v>20</v>
      </c>
      <c r="F238" s="4" t="n">
        <v>1150</v>
      </c>
      <c r="G238" s="5" t="n">
        <v>0</v>
      </c>
      <c r="H238" s="4" t="n">
        <v>23000</v>
      </c>
      <c r="I238" s="3" t="n">
        <v>46356</v>
      </c>
      <c r="J238" t="inlineStr">
        <is>
          <t>No</t>
        </is>
      </c>
      <c r="K238">
        <f>IF(J238="Sí","Cobrado",IF(I238&lt;Dashboard!$B$1,"Vencido","Al día"))</f>
        <v/>
      </c>
    </row>
    <row r="239">
      <c r="A239" s="3" t="n">
        <v>46317</v>
      </c>
      <c r="B239" t="inlineStr">
        <is>
          <t>Kiosco La Esquina</t>
        </is>
      </c>
      <c r="C239" t="inlineStr">
        <is>
          <t>Diego Paz</t>
        </is>
      </c>
      <c r="D239" t="inlineStr">
        <is>
          <t>PAP-210</t>
        </is>
      </c>
      <c r="E239" t="n">
        <v>10</v>
      </c>
      <c r="F239" s="4" t="n">
        <v>6200</v>
      </c>
      <c r="G239" s="5" t="n">
        <v>0.05</v>
      </c>
      <c r="H239" s="4" t="n">
        <v>58900</v>
      </c>
      <c r="I239" s="3" t="n">
        <v>46356</v>
      </c>
      <c r="J239" t="inlineStr">
        <is>
          <t>No</t>
        </is>
      </c>
      <c r="K239">
        <f>IF(J239="Sí","Cobrado",IF(I239&lt;Dashboard!$B$1,"Vencido","Al día"))</f>
        <v/>
      </c>
    </row>
    <row r="240">
      <c r="A240" s="3" t="n">
        <v>46317</v>
      </c>
      <c r="B240" t="inlineStr">
        <is>
          <t>Hotel Mirador</t>
        </is>
      </c>
      <c r="C240" t="inlineStr">
        <is>
          <t>Carla Ruiz</t>
        </is>
      </c>
      <c r="D240" t="inlineStr">
        <is>
          <t>LIM-010</t>
        </is>
      </c>
      <c r="E240" t="n">
        <v>60</v>
      </c>
      <c r="F240" s="4" t="n">
        <v>2400</v>
      </c>
      <c r="G240" s="5" t="n">
        <v>0.1</v>
      </c>
      <c r="H240" s="4" t="n">
        <v>129600</v>
      </c>
      <c r="I240" s="3" t="n">
        <v>46356</v>
      </c>
      <c r="J240" t="inlineStr">
        <is>
          <t>No</t>
        </is>
      </c>
      <c r="K240">
        <f>IF(J240="Sí","Cobrado",IF(I240&lt;Dashboard!$B$1,"Vencido","Al día"))</f>
        <v/>
      </c>
    </row>
    <row r="241">
      <c r="A241" s="3" t="n">
        <v>46318</v>
      </c>
      <c r="B241" t="inlineStr">
        <is>
          <t>Librería San Martín Srl</t>
        </is>
      </c>
      <c r="C241" t="inlineStr">
        <is>
          <t>Diego Paz</t>
        </is>
      </c>
      <c r="D241" t="inlineStr">
        <is>
          <t>LIM-040</t>
        </is>
      </c>
      <c r="E241" t="n">
        <v>10</v>
      </c>
      <c r="F241" s="4" t="n">
        <v>9800</v>
      </c>
      <c r="G241" s="5" t="n">
        <v>0.05</v>
      </c>
      <c r="H241" s="4" t="n">
        <v>93100</v>
      </c>
      <c r="I241" s="3" t="n">
        <v>46356</v>
      </c>
      <c r="J241" t="inlineStr">
        <is>
          <t>No</t>
        </is>
      </c>
      <c r="K241">
        <f>IF(J241="Sí","Cobrado",IF(I241&lt;Dashboard!$B$1,"Vencido","Al día"))</f>
        <v/>
      </c>
    </row>
    <row r="242">
      <c r="A242" s="3" t="n">
        <v>46321</v>
      </c>
      <c r="B242" t="inlineStr">
        <is>
          <t>Ferretería El Tornillo</t>
        </is>
      </c>
      <c r="C242" t="inlineStr">
        <is>
          <t>Diego Paz</t>
        </is>
      </c>
      <c r="D242" t="inlineStr">
        <is>
          <t>LIM-030</t>
        </is>
      </c>
      <c r="E242" t="n">
        <v>40</v>
      </c>
      <c r="F242" s="4" t="n">
        <v>1150</v>
      </c>
      <c r="G242" s="5" t="n">
        <v>0.05</v>
      </c>
      <c r="H242" s="4" t="n">
        <v>43700</v>
      </c>
      <c r="I242" s="3" t="n">
        <v>46356</v>
      </c>
      <c r="J242" t="inlineStr">
        <is>
          <t>No</t>
        </is>
      </c>
      <c r="K242">
        <f>IF(J242="Sí","Cobrado",IF(I242&lt;Dashboard!$B$1,"Vencido","Al día"))</f>
        <v/>
      </c>
    </row>
    <row r="243">
      <c r="A243" s="3" t="n">
        <v>46321</v>
      </c>
      <c r="B243" t="inlineStr">
        <is>
          <t>Kiosco La Esquina</t>
        </is>
      </c>
      <c r="C243" t="inlineStr">
        <is>
          <t>Diego Paz</t>
        </is>
      </c>
      <c r="D243" t="inlineStr">
        <is>
          <t>PAP-210</t>
        </is>
      </c>
      <c r="E243" t="n">
        <v>120</v>
      </c>
      <c r="F243" s="4" t="n">
        <v>6200</v>
      </c>
      <c r="G243" s="5" t="n">
        <v>0.1</v>
      </c>
      <c r="H243" s="4" t="n">
        <v>669600</v>
      </c>
      <c r="I243" s="3" t="n">
        <v>46356</v>
      </c>
      <c r="J243" t="inlineStr">
        <is>
          <t>No</t>
        </is>
      </c>
      <c r="K243">
        <f>IF(J243="Sí","Cobrado",IF(I243&lt;Dashboard!$B$1,"Vencido","Al día"))</f>
        <v/>
      </c>
    </row>
    <row r="244">
      <c r="A244" s="3" t="n">
        <v>46322</v>
      </c>
      <c r="B244" t="inlineStr">
        <is>
          <t>Hotel Mirador</t>
        </is>
      </c>
      <c r="C244" t="inlineStr">
        <is>
          <t>Carla Ruiz</t>
        </is>
      </c>
      <c r="D244" t="inlineStr">
        <is>
          <t>PAP-220</t>
        </is>
      </c>
      <c r="E244" t="n">
        <v>25</v>
      </c>
      <c r="F244" s="4" t="n">
        <v>3900</v>
      </c>
      <c r="G244" s="5" t="n">
        <v>0.05</v>
      </c>
      <c r="H244" s="4" t="n">
        <v>92625</v>
      </c>
      <c r="I244" s="3" t="n">
        <v>46356</v>
      </c>
      <c r="J244" t="inlineStr">
        <is>
          <t>No</t>
        </is>
      </c>
      <c r="K244">
        <f>IF(J244="Sí","Cobrado",IF(I244&lt;Dashboard!$B$1,"Vencido","Al día"))</f>
        <v/>
      </c>
    </row>
    <row r="245">
      <c r="A245" s="3" t="n">
        <v>46322</v>
      </c>
      <c r="B245" t="inlineStr">
        <is>
          <t>Colegio Nuevo Horizonte</t>
        </is>
      </c>
      <c r="C245" t="inlineStr">
        <is>
          <t>Tomás Gil</t>
        </is>
      </c>
      <c r="D245" t="inlineStr">
        <is>
          <t>LIM-010</t>
        </is>
      </c>
      <c r="E245" t="n">
        <v>50</v>
      </c>
      <c r="F245" s="4" t="n">
        <v>2400</v>
      </c>
      <c r="G245" s="5" t="n">
        <v>0.1</v>
      </c>
      <c r="H245" s="4" t="n">
        <v>108000</v>
      </c>
      <c r="I245" s="3" t="n">
        <v>46356</v>
      </c>
      <c r="J245" t="inlineStr">
        <is>
          <t>No</t>
        </is>
      </c>
      <c r="K245">
        <f>IF(J245="Sí","Cobrado",IF(I245&lt;Dashboard!$B$1,"Vencido","Al día"))</f>
        <v/>
      </c>
    </row>
    <row r="246">
      <c r="A246" s="3" t="n">
        <v>46323</v>
      </c>
      <c r="B246" t="inlineStr">
        <is>
          <t>Ferretería El Tornillo</t>
        </is>
      </c>
      <c r="C246" t="inlineStr">
        <is>
          <t>Carla Ruiz</t>
        </is>
      </c>
      <c r="D246" t="inlineStr">
        <is>
          <t>LIM-020</t>
        </is>
      </c>
      <c r="E246" t="n">
        <v>50</v>
      </c>
      <c r="F246" s="4" t="n">
        <v>3100</v>
      </c>
      <c r="G246" s="5" t="n">
        <v>0.1</v>
      </c>
      <c r="H246" s="4" t="n">
        <v>139500</v>
      </c>
      <c r="I246" s="3" t="n">
        <v>46356</v>
      </c>
      <c r="J246" t="inlineStr">
        <is>
          <t>Sí</t>
        </is>
      </c>
      <c r="K246">
        <f>IF(J246="Sí","Cobrado",IF(I246&lt;Dashboard!$B$1,"Vencido","Al día"))</f>
        <v/>
      </c>
    </row>
    <row r="247">
      <c r="A247" s="3" t="n">
        <v>46323</v>
      </c>
      <c r="B247" t="inlineStr">
        <is>
          <t>Kiosco La Esquina</t>
        </is>
      </c>
      <c r="C247" t="inlineStr">
        <is>
          <t>Tomás Gil</t>
        </is>
      </c>
      <c r="D247" t="inlineStr">
        <is>
          <t>LIM-010</t>
        </is>
      </c>
      <c r="E247" t="n">
        <v>15</v>
      </c>
      <c r="F247" s="4" t="n">
        <v>2400</v>
      </c>
      <c r="G247" s="5" t="n">
        <v>0</v>
      </c>
      <c r="H247" s="4" t="n">
        <v>36000</v>
      </c>
      <c r="I247" s="3" t="n">
        <v>46356</v>
      </c>
      <c r="J247" t="inlineStr">
        <is>
          <t>No</t>
        </is>
      </c>
      <c r="K247">
        <f>IF(J247="Sí","Cobrado",IF(I247&lt;Dashboard!$B$1,"Vencido","Al día"))</f>
        <v/>
      </c>
    </row>
    <row r="248">
      <c r="A248" s="3" t="n">
        <v>46323</v>
      </c>
      <c r="B248" t="inlineStr">
        <is>
          <t>Librería San Martín Srl</t>
        </is>
      </c>
      <c r="C248" t="inlineStr">
        <is>
          <t>Carla Ruiz</t>
        </is>
      </c>
      <c r="D248" t="inlineStr">
        <is>
          <t>LIM-030</t>
        </is>
      </c>
      <c r="E248" t="n">
        <v>100</v>
      </c>
      <c r="F248" s="4" t="n">
        <v>1150</v>
      </c>
      <c r="G248" s="5" t="n">
        <v>0.1</v>
      </c>
      <c r="H248" s="4" t="n">
        <v>103500</v>
      </c>
      <c r="I248" s="3" t="n">
        <v>46356</v>
      </c>
      <c r="J248" t="inlineStr">
        <is>
          <t>No</t>
        </is>
      </c>
      <c r="K248">
        <f>IF(J248="Sí","Cobrado",IF(I248&lt;Dashboard!$B$1,"Vencido","Al día"))</f>
        <v/>
      </c>
    </row>
    <row r="249">
      <c r="A249" s="3" t="n">
        <v>46324</v>
      </c>
      <c r="B249" t="inlineStr">
        <is>
          <t>Colegio Nuevo Horizonte</t>
        </is>
      </c>
      <c r="C249" t="inlineStr">
        <is>
          <t>Carla Ruiz</t>
        </is>
      </c>
      <c r="D249" t="inlineStr">
        <is>
          <t>PAP-200</t>
        </is>
      </c>
      <c r="E249" t="n">
        <v>10</v>
      </c>
      <c r="F249" s="4" t="n">
        <v>4500</v>
      </c>
      <c r="G249" s="5" t="n">
        <v>0.05</v>
      </c>
      <c r="H249" s="4" t="n">
        <v>42750</v>
      </c>
      <c r="I249" s="3" t="n">
        <v>46356</v>
      </c>
      <c r="J249" t="inlineStr">
        <is>
          <t>No</t>
        </is>
      </c>
      <c r="K249">
        <f>IF(J249="Sí","Cobrado",IF(I249&lt;Dashboard!$B$1,"Vencido","Al día"))</f>
        <v/>
      </c>
    </row>
    <row r="250">
      <c r="A250" s="3" t="n">
        <v>46324</v>
      </c>
      <c r="B250" t="inlineStr">
        <is>
          <t>Kiosco La Esquina</t>
        </is>
      </c>
      <c r="C250" t="inlineStr">
        <is>
          <t>Carla Ruiz</t>
        </is>
      </c>
      <c r="D250" t="inlineStr">
        <is>
          <t>LIM-010</t>
        </is>
      </c>
      <c r="E250" t="n">
        <v>10</v>
      </c>
      <c r="F250" s="4" t="n">
        <v>2400</v>
      </c>
      <c r="G250" s="5" t="n">
        <v>0</v>
      </c>
      <c r="H250" s="4" t="n">
        <v>24000</v>
      </c>
      <c r="I250" s="3" t="n">
        <v>46356</v>
      </c>
      <c r="J250" t="inlineStr">
        <is>
          <t>No</t>
        </is>
      </c>
      <c r="K250">
        <f>IF(J250="Sí","Cobrado",IF(I250&lt;Dashboard!$B$1,"Vencido","Al día"))</f>
        <v/>
      </c>
    </row>
    <row r="251">
      <c r="A251" s="3" t="n">
        <v>46328</v>
      </c>
      <c r="B251" t="inlineStr">
        <is>
          <t>Hotel Mirador</t>
        </is>
      </c>
      <c r="C251" t="inlineStr">
        <is>
          <t>Diego Paz</t>
        </is>
      </c>
      <c r="D251" t="inlineStr">
        <is>
          <t>LIM-040</t>
        </is>
      </c>
      <c r="E251" t="n">
        <v>50</v>
      </c>
      <c r="F251" s="4" t="n">
        <v>9800</v>
      </c>
      <c r="G251" s="5" t="n">
        <v>0.1</v>
      </c>
      <c r="H251" s="4" t="n">
        <v>441000</v>
      </c>
      <c r="I251" s="3" t="n">
        <v>46387</v>
      </c>
      <c r="J251" t="inlineStr">
        <is>
          <t>No</t>
        </is>
      </c>
      <c r="K251">
        <f>IF(J251="Sí","Cobrado",IF(I251&lt;Dashboard!$B$1,"Vencido","Al día"))</f>
        <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30"/>
  <sheetViews>
    <sheetView workbookViewId="0">
      <pane ySplit="1" topLeftCell="A2" activePane="bottomLeft" state="frozen"/>
      <selection pane="bottomLeft" activeCell="A1" sqref="A1"/>
    </sheetView>
  </sheetViews>
  <sheetFormatPr baseColWidth="8" defaultRowHeight="15" outlineLevelCol="0"/>
  <cols>
    <col width="42.5" customWidth="1" min="1" max="1"/>
    <col width="22.5" customWidth="1" min="2" max="2"/>
    <col width="10" customWidth="1" min="3" max="3"/>
    <col width="41.875" customWidth="1" min="4" max="4"/>
    <col width="41.875" customWidth="1" min="5" max="5"/>
    <col width="41.875" customWidth="1" min="6" max="6"/>
    <col width="10" customWidth="1" min="7" max="7"/>
    <col width="10" customWidth="1" min="8" max="8"/>
  </cols>
  <sheetData>
    <row r="1">
      <c r="A1" s="6" t="inlineStr">
        <is>
          <t>Fecha de corte</t>
        </is>
      </c>
      <c r="B1" s="7">
        <f>TODAY()</f>
        <v/>
      </c>
      <c r="D1" s="6" t="inlineStr">
        <is>
          <t>Cliente</t>
        </is>
      </c>
      <c r="E1" s="6" t="inlineStr">
        <is>
          <t>Vence</t>
        </is>
      </c>
      <c r="F1" s="6" t="inlineStr">
        <is>
          <t>Neto</t>
        </is>
      </c>
      <c r="H1" s="6" t="inlineStr">
        <is>
          <t>Mes</t>
        </is>
      </c>
      <c r="I1" s="6" t="inlineStr">
        <is>
          <t>Ventas</t>
        </is>
      </c>
      <c r="K1" s="6" t="inlineStr">
        <is>
          <t>Vendedor</t>
        </is>
      </c>
      <c r="L1" s="6" t="inlineStr">
        <is>
          <t>Ventas del año</t>
        </is>
      </c>
      <c r="N1" s="6" t="inlineStr">
        <is>
          <t>Código</t>
        </is>
      </c>
      <c r="O1" s="6" t="inlineStr">
        <is>
          <t>Ventas (vendedor de B2)</t>
        </is>
      </c>
    </row>
    <row r="2">
      <c r="A2" t="inlineStr">
        <is>
          <t>Vendedor</t>
        </is>
      </c>
      <c r="B2" t="inlineStr">
        <is>
          <t>Todos</t>
        </is>
      </c>
      <c r="D2" cm="1">
        <f t="array" ref="D2">IFERROR(_xlfn._xlws.SORT(_xlfn._xlws.FILTER(_xlfn.CHOOSECOLS(Pedidos,2,9,8),Pedidos[Estado]="Vencido"),3,-1),"Sin vencidos")</f>
        <v/>
      </c>
      <c r="E2" s="3" t="n"/>
      <c r="F2" s="4" t="n"/>
      <c r="H2" s="8">
        <f>DATE(YEAR($B$1),1,1)</f>
        <v/>
      </c>
      <c r="I2" s="4">
        <f>SUMIFS(Pedidos[Neto],Pedidos[Fecha],"&gt;="&amp;H2,Pedidos[Fecha],"&lt;="&amp;MIN(EOMONTH(H2,0),$B$1))</f>
        <v/>
      </c>
      <c r="K2" t="inlineStr">
        <is>
          <t>Diego Paz</t>
        </is>
      </c>
      <c r="L2" s="4">
        <f>SUMIFS(Pedidos[Neto],Pedidos[Vendedor],K2,Pedidos[Fecha],"&gt;="&amp;DATE(YEAR($B$1),1,1),Pedidos[Fecha],"&lt;="&amp;$B$1)</f>
        <v/>
      </c>
      <c r="N2" t="inlineStr">
        <is>
          <t>LIM-010</t>
        </is>
      </c>
      <c r="O2" s="4">
        <f>SUMIFS(Pedidos[Neto],Pedidos[Código],N2,Pedidos[Vendedor],IF($B$2="Todos","*",$B$2),Pedidos[Fecha],"&gt;="&amp;DATE(YEAR($B$1),1,1),Pedidos[Fecha],"&lt;="&amp;$B$1)</f>
        <v/>
      </c>
    </row>
    <row r="3">
      <c r="A3" t="inlineStr">
        <is>
          <t>Ventas del año</t>
        </is>
      </c>
      <c r="B3" s="4">
        <f>SUMIFS(Pedidos[Neto],Pedidos[Fecha],"&gt;="&amp;DATE(YEAR(B1),1,1),Pedidos[Fecha],"&lt;="&amp;B1)</f>
        <v/>
      </c>
      <c r="E3" s="3" t="n"/>
      <c r="F3" s="4" t="n"/>
      <c r="H3" s="8">
        <f>DATE(YEAR($B$1),2,1)</f>
        <v/>
      </c>
      <c r="I3" s="4">
        <f>SUMIFS(Pedidos[Neto],Pedidos[Fecha],"&gt;="&amp;H3,Pedidos[Fecha],"&lt;="&amp;MIN(EOMONTH(H3,0),$B$1))</f>
        <v/>
      </c>
      <c r="K3" t="inlineStr">
        <is>
          <t>Carla Ruiz</t>
        </is>
      </c>
      <c r="L3" s="4">
        <f>SUMIFS(Pedidos[Neto],Pedidos[Vendedor],K3,Pedidos[Fecha],"&gt;="&amp;DATE(YEAR($B$1),1,1),Pedidos[Fecha],"&lt;="&amp;$B$1)</f>
        <v/>
      </c>
      <c r="N3" t="inlineStr">
        <is>
          <t>LIM-020</t>
        </is>
      </c>
      <c r="O3" s="4">
        <f>SUMIFS(Pedidos[Neto],Pedidos[Código],N3,Pedidos[Vendedor],IF($B$2="Todos","*",$B$2),Pedidos[Fecha],"&gt;="&amp;DATE(YEAR($B$1),1,1),Pedidos[Fecha],"&lt;="&amp;$B$1)</f>
        <v/>
      </c>
    </row>
    <row r="4">
      <c r="A4" t="inlineStr">
        <is>
          <t>Pedidos del año</t>
        </is>
      </c>
      <c r="B4" s="4">
        <f>COUNTIFS(Pedidos[Fecha],"&gt;="&amp;DATE(YEAR(B1),1,1),Pedidos[Fecha],"&lt;="&amp;B1)</f>
        <v/>
      </c>
      <c r="E4" s="3" t="n"/>
      <c r="F4" s="4" t="n"/>
      <c r="H4" s="8">
        <f>DATE(YEAR($B$1),3,1)</f>
        <v/>
      </c>
      <c r="I4" s="4">
        <f>SUMIFS(Pedidos[Neto],Pedidos[Fecha],"&gt;="&amp;H4,Pedidos[Fecha],"&lt;="&amp;MIN(EOMONTH(H4,0),$B$1))</f>
        <v/>
      </c>
      <c r="K4" t="inlineStr">
        <is>
          <t>Tomás Gil</t>
        </is>
      </c>
      <c r="L4" s="4">
        <f>SUMIFS(Pedidos[Neto],Pedidos[Vendedor],K4,Pedidos[Fecha],"&gt;="&amp;DATE(YEAR($B$1),1,1),Pedidos[Fecha],"&lt;="&amp;$B$1)</f>
        <v/>
      </c>
      <c r="N4" t="inlineStr">
        <is>
          <t>LIM-030</t>
        </is>
      </c>
      <c r="O4" s="4">
        <f>SUMIFS(Pedidos[Neto],Pedidos[Código],N4,Pedidos[Vendedor],IF($B$2="Todos","*",$B$2),Pedidos[Fecha],"&gt;="&amp;DATE(YEAR($B$1),1,1),Pedidos[Fecha],"&lt;="&amp;$B$1)</f>
        <v/>
      </c>
    </row>
    <row r="5">
      <c r="A5" t="inlineStr">
        <is>
          <t>Último mes cerrado</t>
        </is>
      </c>
      <c r="B5" s="4">
        <f>SUMIFS(Pedidos[Neto],Pedidos[Fecha],"&gt;"&amp;EOMONTH(B1,-2),Pedidos[Fecha],"&lt;="&amp;EOMONTH(B1,-1))</f>
        <v/>
      </c>
      <c r="E5" s="3" t="n"/>
      <c r="F5" s="4" t="n"/>
      <c r="H5" s="8">
        <f>DATE(YEAR($B$1),4,1)</f>
        <v/>
      </c>
      <c r="I5" s="4">
        <f>SUMIFS(Pedidos[Neto],Pedidos[Fecha],"&gt;="&amp;H5,Pedidos[Fecha],"&lt;="&amp;MIN(EOMONTH(H5,0),$B$1))</f>
        <v/>
      </c>
      <c r="N5" t="inlineStr">
        <is>
          <t>LIM-040</t>
        </is>
      </c>
      <c r="O5" s="4">
        <f>SUMIFS(Pedidos[Neto],Pedidos[Código],N5,Pedidos[Vendedor],IF($B$2="Todos","*",$B$2),Pedidos[Fecha],"&gt;="&amp;DATE(YEAR($B$1),1,1),Pedidos[Fecha],"&lt;="&amp;$B$1)</f>
        <v/>
      </c>
    </row>
    <row r="6">
      <c r="A6" t="inlineStr">
        <is>
          <t>Este mes (hasta el corte)</t>
        </is>
      </c>
      <c r="B6" s="4">
        <f>SUMIFS(Pedidos[Neto],Pedidos[Fecha],"&gt;"&amp;EOMONTH(B1,-1),Pedidos[Fecha],"&lt;="&amp;B1)</f>
        <v/>
      </c>
      <c r="E6" s="3" t="n"/>
      <c r="F6" s="4" t="n"/>
      <c r="H6" s="8">
        <f>DATE(YEAR($B$1),5,1)</f>
        <v/>
      </c>
      <c r="I6" s="4">
        <f>SUMIFS(Pedidos[Neto],Pedidos[Fecha],"&gt;="&amp;H6,Pedidos[Fecha],"&lt;="&amp;MIN(EOMONTH(H6,0),$B$1))</f>
        <v/>
      </c>
      <c r="N6" t="inlineStr">
        <is>
          <t>PAP-200</t>
        </is>
      </c>
      <c r="O6" s="4">
        <f>SUMIFS(Pedidos[Neto],Pedidos[Código],N6,Pedidos[Vendedor],IF($B$2="Todos","*",$B$2),Pedidos[Fecha],"&gt;="&amp;DATE(YEAR($B$1),1,1),Pedidos[Fecha],"&lt;="&amp;$B$1)</f>
        <v/>
      </c>
    </row>
    <row r="7">
      <c r="A7" t="inlineStr">
        <is>
          <t>Mes cerrado vs. el anterior</t>
        </is>
      </c>
      <c r="B7" s="9">
        <f>B5/SUMIFS(Pedidos[Neto],Pedidos[Fecha],"&gt;"&amp;EOMONTH(B1,-3),Pedidos[Fecha],"&lt;="&amp;EOMONTH(B1,-2))-1</f>
        <v/>
      </c>
      <c r="E7" s="3" t="n"/>
      <c r="F7" s="4" t="n"/>
      <c r="H7" s="8">
        <f>DATE(YEAR($B$1),6,1)</f>
        <v/>
      </c>
      <c r="I7" s="4">
        <f>SUMIFS(Pedidos[Neto],Pedidos[Fecha],"&gt;="&amp;H7,Pedidos[Fecha],"&lt;="&amp;MIN(EOMONTH(H7,0),$B$1))</f>
        <v/>
      </c>
      <c r="N7" t="inlineStr">
        <is>
          <t>PAP-210</t>
        </is>
      </c>
      <c r="O7" s="4">
        <f>SUMIFS(Pedidos[Neto],Pedidos[Código],N7,Pedidos[Vendedor],IF($B$2="Todos","*",$B$2),Pedidos[Fecha],"&gt;="&amp;DATE(YEAR($B$1),1,1),Pedidos[Fecha],"&lt;="&amp;$B$1)</f>
        <v/>
      </c>
    </row>
    <row r="8">
      <c r="A8" t="inlineStr">
        <is>
          <t>Mismo tramo vs. anterior</t>
        </is>
      </c>
      <c r="B8" s="9">
        <f>B6/SUMIFS(Pedidos[Neto],Pedidos[Fecha],"&gt;"&amp;EOMONTH(B1,-2),Pedidos[Fecha],"&lt;="&amp;EDATE(B1,-1))-1</f>
        <v/>
      </c>
      <c r="E8" s="3" t="n"/>
      <c r="F8" s="4" t="n"/>
      <c r="H8" s="8">
        <f>DATE(YEAR($B$1),7,1)</f>
        <v/>
      </c>
      <c r="I8" s="4">
        <f>SUMIFS(Pedidos[Neto],Pedidos[Fecha],"&gt;="&amp;H8,Pedidos[Fecha],"&lt;="&amp;MIN(EOMONTH(H8,0),$B$1))</f>
        <v/>
      </c>
      <c r="N8" t="inlineStr">
        <is>
          <t>PAP-220</t>
        </is>
      </c>
      <c r="O8" s="4">
        <f>SUMIFS(Pedidos[Neto],Pedidos[Código],N8,Pedidos[Vendedor],IF($B$2="Todos","*",$B$2),Pedidos[Fecha],"&gt;="&amp;DATE(YEAR($B$1),1,1),Pedidos[Fecha],"&lt;="&amp;$B$1)</f>
        <v/>
      </c>
    </row>
    <row r="9">
      <c r="E9" s="3" t="n"/>
      <c r="F9" s="4" t="n"/>
      <c r="H9" s="8">
        <f>DATE(YEAR($B$1),8,1)</f>
        <v/>
      </c>
      <c r="I9" s="4">
        <f>SUMIFS(Pedidos[Neto],Pedidos[Fecha],"&gt;="&amp;H9,Pedidos[Fecha],"&lt;="&amp;MIN(EOMONTH(H9,0),$B$1))</f>
        <v/>
      </c>
    </row>
    <row r="10">
      <c r="A10" t="inlineStr">
        <is>
          <t>Ventas del vendedor</t>
        </is>
      </c>
      <c r="B10" s="4">
        <f>SUMIFS(Pedidos[Neto],Pedidos[Vendedor],IF(B2="Todos","*",B2),Pedidos[Fecha],"&gt;="&amp;DATE(YEAR(B1),1,1),Pedidos[Fecha],"&lt;="&amp;B1)</f>
        <v/>
      </c>
      <c r="E10" s="3" t="n"/>
      <c r="F10" s="4" t="n"/>
      <c r="H10" s="8">
        <f>DATE(YEAR($B$1),9,1)</f>
        <v/>
      </c>
      <c r="I10" s="4">
        <f>SUMIFS(Pedidos[Neto],Pedidos[Fecha],"&gt;="&amp;H10,Pedidos[Fecha],"&lt;="&amp;MIN(EOMONTH(H10,0),$B$1))</f>
        <v/>
      </c>
    </row>
    <row r="11">
      <c r="A11" t="inlineStr">
        <is>
          <t>Vencido sin cobrar</t>
        </is>
      </c>
      <c r="B11" s="4">
        <f>SUMIFS(Pedidos[Neto],Pedidos[Estado],"Vencido")</f>
        <v/>
      </c>
      <c r="E11" s="3" t="n"/>
      <c r="F11" s="4" t="n"/>
      <c r="H11" s="8">
        <f>DATE(YEAR($B$1),10,1)</f>
        <v/>
      </c>
      <c r="I11" s="4">
        <f>SUMIFS(Pedidos[Neto],Pedidos[Fecha],"&gt;="&amp;H11,Pedidos[Fecha],"&lt;="&amp;MIN(EOMONTH(H11,0),$B$1))</f>
        <v/>
      </c>
    </row>
    <row r="12">
      <c r="A12" t="inlineStr">
        <is>
          <t>Facturas vencidas</t>
        </is>
      </c>
      <c r="B12">
        <f>COUNTIF(Pedidos[Estado],"Vencido")</f>
        <v/>
      </c>
      <c r="E12" s="3" t="n"/>
      <c r="F12" s="4" t="n"/>
      <c r="H12" s="8">
        <f>DATE(YEAR($B$1),11,1)</f>
        <v/>
      </c>
      <c r="I12" s="4">
        <f>SUMIFS(Pedidos[Neto],Pedidos[Fecha],"&gt;="&amp;H12,Pedidos[Fecha],"&lt;="&amp;MIN(EOMONTH(H12,0),$B$1))</f>
        <v/>
      </c>
    </row>
    <row r="13">
      <c r="E13" s="3" t="n"/>
      <c r="F13" s="4" t="n"/>
      <c r="H13" s="8">
        <f>DATE(YEAR($B$1),12,1)</f>
        <v/>
      </c>
      <c r="I13" s="4">
        <f>SUMIFS(Pedidos[Neto],Pedidos[Fecha],"&gt;="&amp;H13,Pedidos[Fecha],"&lt;="&amp;MIN(EOMONTH(H13,0),$B$1))</f>
        <v/>
      </c>
    </row>
    <row r="14">
      <c r="E14" s="3" t="n"/>
      <c r="F14" s="4" t="n"/>
    </row>
    <row r="15">
      <c r="E15" s="3" t="n"/>
      <c r="F15" s="4" t="n"/>
    </row>
    <row r="16">
      <c r="E16" s="3" t="n"/>
      <c r="F16" s="4" t="n"/>
    </row>
    <row r="17">
      <c r="E17" s="3" t="n"/>
      <c r="F17" s="4" t="n"/>
    </row>
    <row r="18">
      <c r="E18" s="3" t="n"/>
      <c r="F18" s="4" t="n"/>
    </row>
    <row r="19">
      <c r="E19" s="3" t="n"/>
      <c r="F19" s="4" t="n"/>
    </row>
    <row r="20">
      <c r="E20" s="3" t="n"/>
      <c r="F20" s="4" t="n"/>
    </row>
    <row r="21">
      <c r="E21" s="3" t="n"/>
      <c r="F21" s="4" t="n"/>
    </row>
    <row r="22">
      <c r="E22" s="3" t="n"/>
      <c r="F22" s="4" t="n"/>
    </row>
    <row r="23">
      <c r="E23" s="3" t="n"/>
      <c r="F23" s="4" t="n"/>
    </row>
    <row r="24">
      <c r="E24" s="3" t="n"/>
      <c r="F24" s="4" t="n"/>
    </row>
    <row r="25">
      <c r="E25" s="3" t="n"/>
      <c r="F25" s="4" t="n"/>
    </row>
    <row r="26">
      <c r="E26" s="3" t="n"/>
      <c r="F26" s="4" t="n"/>
    </row>
    <row r="27">
      <c r="E27" s="3" t="n"/>
      <c r="F27" s="4" t="n"/>
    </row>
    <row r="28">
      <c r="E28" s="3" t="n"/>
      <c r="F28" s="4" t="n"/>
    </row>
    <row r="29">
      <c r="E29" s="3" t="n"/>
      <c r="F29" s="4" t="n"/>
    </row>
    <row r="30">
      <c r="E30" s="3" t="n"/>
      <c r="F30" s="4" t="n"/>
    </row>
  </sheetData>
  <dataValidations count="1">
    <dataValidation sqref="B2" showDropDown="0" showInputMessage="0" showErrorMessage="0" allowBlank="0" type="list">
      <formula1>"Todos,Diego Paz,Carla Ruiz,Tomás Gil"</formula1>
    </dataValidation>
  </dataValidation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outlineLevelCol="0"/>
  <cols>
    <col width="10" customWidth="1" min="1" max="1"/>
    <col width="27.5" customWidth="1" min="2" max="2"/>
    <col width="100" customWidth="1" min="3" max="3"/>
    <col width="77.5" customWidth="1" min="4" max="4"/>
    <col width="52.5" customWidth="1" min="5" max="5"/>
    <col width="60" customWidth="1" min="6" max="6"/>
  </cols>
  <sheetData>
    <row r="1">
      <c r="A1" s="10" t="inlineStr">
        <is>
          <t>#</t>
        </is>
      </c>
      <c r="B1" s="10" t="inlineStr">
        <is>
          <t>Bloque</t>
        </is>
      </c>
      <c r="C1" s="10" t="inlineStr">
        <is>
          <t>Prompt (Mapa · Meta · Prueba)</t>
        </is>
      </c>
      <c r="D1" s="10" t="inlineStr">
        <is>
          <t>Fórmula de la plantilla (verificada)</t>
        </is>
      </c>
      <c r="E1" s="10" t="inlineStr">
        <is>
          <t>Respuesta de Claude (fecha)</t>
        </is>
      </c>
      <c r="F1" s="10" t="inlineStr">
        <is>
          <t>Qué revisar</t>
        </is>
      </c>
    </row>
    <row r="2">
      <c r="A2" s="11" t="n">
        <v>0</v>
      </c>
      <c r="B2" s="11" t="inlineStr">
        <is>
          <t>Mapa (va primero, una sola vez)</t>
        </is>
      </c>
      <c r="C2" s="11" t="inlineStr">
        <is>
          <t>Excel para la web en español, separador punto y coma. Tabla llamada Pedidos con las columnas Fecha, Cliente, Vendedor, Código, Cant., Precio, Desc., Neto, Vence, Pagado (Sí/No) y Estado (Cobrado, Vencido o Al día). En la hoja Dashboard, B1 es la fecha de corte y B2 el vendedor (o Todos). Usa referencias a la Tabla, como Pedidos[Neto].</t>
        </is>
      </c>
      <c r="F2" s="11" t="inlineStr">
        <is>
          <t>Solo nombres de columnas: nunca pegues datos reales de clientes. ¿Tu Excel usa coma? Dilo en el mapa.</t>
        </is>
      </c>
    </row>
    <row r="3">
      <c r="A3" s="11" t="n">
        <v>1</v>
      </c>
      <c r="B3" s="11" t="inlineStr">
        <is>
          <t>Mensaje único (lo probé)</t>
        </is>
      </c>
      <c r="C3" s="11" t="inlineStr">
        <is>
          <t>Te adjunto Distribuidora Sur - Pedidos 2026.xlsx (datos ficticios). Hazme un dashboard de ventas en Excel para la reunión del lunes: indicadores, gráficos y un filtro por vendedor, que se actualice cuando pegue pedidos nuevos.</t>
        </is>
      </c>
      <c r="E3" s="11" t="inlineStr">
        <is>
          <t>[PENDIENTE: respuesta real]</t>
        </is>
      </c>
      <c r="F3" s="11" t="inlineStr">
        <is>
          <t>¿Es un Excel o una página? ¿Se rehace al pegar? ¿Sus números coinciden con los tuyos?</t>
        </is>
      </c>
    </row>
    <row r="4">
      <c r="A4" s="11" t="n">
        <v>2</v>
      </c>
      <c r="B4" s="11" t="inlineStr">
        <is>
          <t>Pregunta 1 · Meta (B3, B4, B5)</t>
        </is>
      </c>
      <c r="C4" s="11" t="inlineStr">
        <is>
          <t>En Dashboard!B3, las ventas netas del año hasta la fecha de corte. En B4, cuántos pedidos hay en ese período. En B5, las ventas del último mes cerrado antes de la fecha de corte.</t>
        </is>
      </c>
      <c r="D4" s="11" t="inlineStr">
        <is>
          <t>B3 =SUMAR.SI.CONJUNTO(Pedidos[Neto];Pedidos[Fecha];"&gt;="&amp;FECHA(AÑO(B1);1;1);Pedidos[Fecha];"&lt;="&amp;B1)
B4 =CONTAR.SI.CONJUNTO(Pedidos[Fecha];"&gt;="&amp;FECHA(AÑO(B1);1;1);Pedidos[Fecha];"&lt;="&amp;B1)
B5 =SUMAR.SI.CONJUNTO(Pedidos[Neto];Pedidos[Fecha];"&gt;"&amp;FIN.MES(B1;-2);Pedidos[Fecha];"&lt;="&amp;FIN.MES(B1;-1))</t>
        </is>
      </c>
      <c r="E4" s="11" t="inlineStr">
        <is>
          <t>[PENDIENTE: respuesta real]</t>
        </is>
      </c>
      <c r="F4" s="11" t="inlineStr">
        <is>
          <t>Que usen la Tabla (Pedidos[Neto]) y no un rango fijo como H2:H250.</t>
        </is>
      </c>
    </row>
    <row r="5">
      <c r="A5" s="11" t="n">
        <v>3</v>
      </c>
      <c r="B5" s="11" t="inlineStr">
        <is>
          <t>Pregunta 2 · Meta (B6 y gráfico)</t>
        </is>
      </c>
      <c r="C5" s="11" t="inlineStr">
        <is>
          <t>En B6, las ventas de este mes hasta la fecha de corte, y en B7 la variación de este mes contra el mes anterior, en porcentaje. Para el gráfico, en H2:I13, las ventas de cada mes del año, de enero a diciembre.</t>
        </is>
      </c>
      <c r="D5" s="11" t="inlineStr">
        <is>
          <t>B6 =SUMAR.SI.CONJUNTO(Pedidos[Neto];Pedidos[Fecha];"&gt;"&amp;FIN.MES(B1;-1);Pedidos[Fecha];"&lt;="&amp;B1)
H2 =FECHA(AÑO($B$1);1;1) (y 2…12 hacia abajo)
I2 =SUMAR.SI.CONJUNTO(Pedidos[Neto];Pedidos[Fecha];"&gt;="&amp;H2;Pedidos[Fecha];"&lt;="&amp;MIN(FIN.MES(H2;0);$B$1))</t>
        </is>
      </c>
      <c r="E5" s="11" t="inlineStr">
        <is>
          <t>[PENDIENTE: respuesta real]</t>
        </is>
      </c>
      <c r="F5" s="11" t="inlineStr">
        <is>
          <t>Meses fijos de enero a diciembre, para que el mes nuevo ya tenga su barra.</t>
        </is>
      </c>
    </row>
    <row r="6">
      <c r="A6" s="11" t="inlineStr">
        <is>
          <t>3b</t>
        </is>
      </c>
      <c r="B6" s="11" t="inlineStr">
        <is>
          <t>La ingenua, para que la veas (no está en el Dashboard)</t>
        </is>
      </c>
      <c r="C6" s="11" t="inlineStr">
        <is>
          <t>—</t>
        </is>
      </c>
      <c r="D6" s="11" t="inlineStr">
        <is>
          <t>=B6/B5-1  → el día 3 del mes da −90,4 %: compara 3 días con un mes completo</t>
        </is>
      </c>
      <c r="F6" s="11" t="inlineStr">
        <is>
          <t>No la uses para decidir: es la tarjeta que corrige la Prueba.</t>
        </is>
      </c>
    </row>
    <row r="7">
      <c r="A7" s="11" t="n">
        <v>4</v>
      </c>
      <c r="B7" s="11" t="inlineStr">
        <is>
          <t>Pregunta 3 · Meta (B10 y productos)</t>
        </is>
      </c>
      <c r="C7" s="11" t="inlineStr">
        <is>
          <t>En B2 pondré una lista desplegable con Todos, Diego Paz, Carla Ruiz y Tomás Gil. En B10 quiero las ventas del año del vendedor de B2; si dice Todos, las de todos. Y el mismo filtro para las ventas por producto de O2:O8.</t>
        </is>
      </c>
      <c r="D7" s="11" t="inlineStr">
        <is>
          <t>B10 =SUMAR.SI.CONJUNTO(Pedidos[Neto];Pedidos[Vendedor];SI(B2="Todos";"*";B2);Pedidos[Fecha];"&gt;="&amp;FECHA(AÑO(B1);1;1);Pedidos[Fecha];"&lt;="&amp;B1)
L2 =SUMAR.SI.CONJUNTO(Pedidos[Neto];Pedidos[Vendedor];K2;Pedidos[Fecha];"&gt;="&amp;FECHA(AÑO($B$1);1;1);Pedidos[Fecha];"&lt;="&amp;$B$1)
O2 =SUMAR.SI.CONJUNTO(Pedidos[Neto];Pedidos[Código];N2;Pedidos[Vendedor];SI($B$2="Todos";"*";$B$2);Pedidos[Fecha];"&gt;="&amp;FECHA(AÑO($B$1);1;1);Pedidos[Fecha];"&lt;="&amp;$B$1)</t>
        </is>
      </c>
      <c r="E7" s="11" t="inlineStr">
        <is>
          <t>[PENDIENTE: respuesta real]</t>
        </is>
      </c>
      <c r="F7" s="11" t="inlineStr">
        <is>
          <t>Que «Todos» use el comodín *; prueba un vendedor y compara con un filtro.</t>
        </is>
      </c>
    </row>
    <row r="8">
      <c r="A8" s="11" t="n">
        <v>5</v>
      </c>
      <c r="B8" s="11" t="inlineStr">
        <is>
          <t>La Prueba (el paso secreto: B7 y B8)</t>
        </is>
      </c>
      <c r="C8" s="11" t="inlineStr">
        <is>
          <t>Prueba: B7 es la variación de este mes contra el anterior (=B6/B5-1) y hoy muestra −90,4 %. ¿Qué situación puede hacer que esta tarjeta muestre un número creíble pero equivocado, sin dar error? ¿Qué debería mostrar con fecha de corte 03/11/2026?</t>
        </is>
      </c>
      <c r="D8" s="11" t="inlineStr">
        <is>
          <t>B7 =B5/SUMAR.SI.CONJUNTO(Pedidos[Neto];Pedidos[Fecha];"&gt;"&amp;FIN.MES(B1;-3);Pedidos[Fecha];"&lt;="&amp;FIN.MES(B1;-2))-1
B8 =B6/SUMAR.SI.CONJUNTO(Pedidos[Neto];Pedidos[Fecha];"&gt;"&amp;FIN.MES(B1;-2);Pedidos[Fecha];"&lt;="&amp;FECHA.MES(B1;-1))-1</t>
        </is>
      </c>
      <c r="E8" s="11" t="inlineStr">
        <is>
          <t>[PENDIENTE: respuesta real]</t>
        </is>
      </c>
      <c r="F8" s="11" t="inlineStr">
        <is>
          <t>Cambia la fecha de corte al último día del mes anterior: si el número cambia de signo, compara días distintos.</t>
        </is>
      </c>
    </row>
    <row r="9">
      <c r="A9" s="11" t="n">
        <v>6</v>
      </c>
      <c r="B9" s="11" t="inlineStr">
        <is>
          <t>Pregunta 4 · cobranza (D2, B11, B12)</t>
        </is>
      </c>
      <c r="C9" s="11" t="inlineStr">
        <is>
          <t>Meta: en D2, una lista que se actualice sola con Cliente, Vence y Neto de los pedidos con Estado Vencido, de mayor a menor neto; si no hay, que diga Sin vencidos.</t>
        </is>
      </c>
      <c r="D9" s="11" t="inlineStr">
        <is>
          <t>D2 =SI.ERROR(ORDENAR(FILTRAR(ELEGIRCOLS(Pedidos;2;9;8);Pedidos[Estado]="Vencido");3;-1);"Sin vencidos")
B11 =SUMAR.SI.CONJUNTO(Pedidos[Neto];Pedidos[Estado];"Vencido")
B12 =CONTAR.SI(Pedidos[Estado];"Vencido")</t>
        </is>
      </c>
      <c r="F9" s="11" t="inlineStr">
        <is>
          <t>Deja vacías las celdas de abajo de D2: la lista se desborda. ELEGIRCOLS no está en Excel 2021.</t>
        </is>
      </c>
    </row>
    <row r="10">
      <c r="A10" s="11" t="n">
        <v>7</v>
      </c>
      <c r="B10" s="11" t="inlineStr">
        <is>
          <t>Estado (hoja Pedidos, columna K)</t>
        </is>
      </c>
      <c r="C10" s="11" t="inlineStr">
        <is>
          <t>Se arma en el video «10 fórmulas de Excel con IA» (Distribuidora Sur).</t>
        </is>
      </c>
      <c r="D10" s="11" t="inlineStr">
        <is>
          <t>K2 =SI(J2="Sí";"Cobrado";SI(I2&lt;Dashboard!$B$1;"Vencido";"Al día"))</t>
        </is>
      </c>
      <c r="F10" s="11" t="inlineStr">
        <is>
          <t>Usa la fecha de corte de Dashboard!B1: con =HOY(), los vencidos cambian solos cada día.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outlineLevelCol="0"/>
  <cols>
    <col width="10" customWidth="1" min="1" max="1"/>
    <col width="112.5" customWidth="1" min="2" max="2"/>
  </cols>
  <sheetData>
    <row r="1">
      <c r="A1" s="10" t="inlineStr">
        <is>
          <t>Paso</t>
        </is>
      </c>
      <c r="B1" s="10" t="inlineStr">
        <is>
          <t>Cómo usar el dashboard con tus pedidos</t>
        </is>
      </c>
    </row>
    <row r="2">
      <c r="A2" s="11" t="n">
        <v>1</v>
      </c>
      <c r="B2" s="11" t="inlineStr">
        <is>
          <t>Dashboard!B1 ya tiene =HOY(). Si quieres otra fecha de corte, escríbela ahí (para ver el video: 03/11/2026). Si ves todo en 0 (por ejemplo, en 2027, con los pedidos de ejemplo de 2026), escribe 03/11/2026 en B1.</t>
        </is>
      </c>
    </row>
    <row r="3">
      <c r="A3" s="11" t="n">
        <v>2</v>
      </c>
      <c r="B3" s="11" t="inlineStr">
        <is>
          <t>En Pedidos, borra las filas de ejemplo (deja el encabezado: la Tabla se mantiene). El total de M2 suma toda la columna Neto de la Tabla (todos los años, sin filtros): es solo para comprobar que la Tabla creció al pegar. Está fuera de la Tabla, separado por la columna L vacía.</t>
        </is>
      </c>
    </row>
    <row r="4">
      <c r="A4" s="11" t="n">
        <v>3</v>
      </c>
      <c r="B4" s="11" t="inlineStr">
        <is>
          <t>Pega tus pedidos debajo del encabezado, con las mismas columnas y en el mismo orden. Si tu sistema trae otras columnas, ordénalas primero.</t>
        </is>
      </c>
    </row>
    <row r="5">
      <c r="A5" s="11" t="n">
        <v>4</v>
      </c>
      <c r="B5" s="11" t="inlineStr">
        <is>
          <t>Revisa que Fecha y Vence sean fechas (no texto) y que Neto sea número: si no, las sumas dan 0 sin avisar.</t>
        </is>
      </c>
    </row>
    <row r="6">
      <c r="A6" s="11" t="n">
        <v>5</v>
      </c>
      <c r="B6" s="11" t="inlineStr">
        <is>
          <t>Cada lunes, pega los pedidos nuevos debajo de la última fila. Mira la tarjeta del mes cerrado (B7), no la del mismo tramo.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2026-10-26T22:31:52Z</dcterms:created>
  <dcterms:modified xmlns:dcterms="http://purl.org/dc/terms/" xmlns:xsi="http://www.w3.org/2001/XMLSchema-instance" xsi:type="dcterms:W3CDTF">2026-10-26T22:31:52Z</dcterms:modified>
</cp:coreProperties>
</file>